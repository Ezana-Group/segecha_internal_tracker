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ed6dd4e95f4f56aa/Trucking Business/"/>
    </mc:Choice>
  </mc:AlternateContent>
  <xr:revisionPtr revIDLastSave="1695" documentId="6_{B66DF3B9-C7D7-5C4D-86F1-209236A3DE31}" xr6:coauthVersionLast="47" xr6:coauthVersionMax="47" xr10:uidLastSave="{36FF1D5F-395D-4F26-A15F-63326851ABC4}"/>
  <bookViews>
    <workbookView xWindow="0" yWindow="660" windowWidth="30240" windowHeight="17680" firstSheet="1" activeTab="1" xr2:uid="{A3BD17FE-767F-6946-8A2F-A5C2AC4BECCD}"/>
  </bookViews>
  <sheets>
    <sheet name="Dashboard" sheetId="2" r:id="rId1"/>
    <sheet name="Trips_2025" sheetId="1" r:id="rId2"/>
    <sheet name="Sheet1" sheetId="5" state="hidden" r:id="rId3"/>
    <sheet name="Fixed_Expenses" sheetId="3" r:id="rId4"/>
    <sheet name="Maintenance" sheetId="7" r:id="rId5"/>
    <sheet name="Sheet4" sheetId="10" r:id="rId6"/>
    <sheet name="Sheet2" sheetId="8" r:id="rId7"/>
    <sheet name="Sheet3" sheetId="9" r:id="rId8"/>
    <sheet name="Input Data" sheetId="6" state="hidden" r:id="rId9"/>
    <sheet name="Rates" sheetId="4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8" i="1" l="1"/>
  <c r="Y29" i="1"/>
  <c r="O35" i="1"/>
  <c r="X28" i="1"/>
  <c r="X29" i="1"/>
  <c r="O30" i="1"/>
  <c r="O31" i="1"/>
  <c r="O32" i="1"/>
  <c r="O33" i="1"/>
  <c r="O34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T53" i="1" s="1"/>
  <c r="Y53" i="1" s="1"/>
  <c r="O29" i="1"/>
  <c r="N34" i="1"/>
  <c r="T34" i="1"/>
  <c r="Y34" i="1" s="1"/>
  <c r="U34" i="1"/>
  <c r="X34" i="1" s="1"/>
  <c r="AA34" i="1"/>
  <c r="AB34" i="1"/>
  <c r="AC34" i="1"/>
  <c r="N50" i="1"/>
  <c r="N51" i="1"/>
  <c r="N52" i="1"/>
  <c r="N53" i="1"/>
  <c r="N54" i="1"/>
  <c r="N55" i="1"/>
  <c r="N56" i="1"/>
  <c r="N57" i="1"/>
  <c r="N58" i="1"/>
  <c r="T50" i="1"/>
  <c r="Y50" i="1" s="1"/>
  <c r="T51" i="1"/>
  <c r="Y51" i="1" s="1"/>
  <c r="T52" i="1"/>
  <c r="Y52" i="1" s="1"/>
  <c r="T54" i="1"/>
  <c r="Y54" i="1" s="1"/>
  <c r="T55" i="1"/>
  <c r="Y55" i="1" s="1"/>
  <c r="T56" i="1"/>
  <c r="Y56" i="1" s="1"/>
  <c r="T57" i="1"/>
  <c r="Y57" i="1" s="1"/>
  <c r="T58" i="1"/>
  <c r="Y58" i="1" s="1"/>
  <c r="U50" i="1"/>
  <c r="X50" i="1" s="1"/>
  <c r="U51" i="1"/>
  <c r="X51" i="1" s="1"/>
  <c r="U52" i="1"/>
  <c r="X52" i="1" s="1"/>
  <c r="U54" i="1"/>
  <c r="X54" i="1" s="1"/>
  <c r="U55" i="1"/>
  <c r="X55" i="1" s="1"/>
  <c r="U56" i="1"/>
  <c r="X56" i="1" s="1"/>
  <c r="U57" i="1"/>
  <c r="X57" i="1" s="1"/>
  <c r="U58" i="1"/>
  <c r="X58" i="1" s="1"/>
  <c r="AA50" i="1"/>
  <c r="AA51" i="1"/>
  <c r="AA52" i="1"/>
  <c r="AA53" i="1"/>
  <c r="AA54" i="1"/>
  <c r="AA55" i="1"/>
  <c r="AA56" i="1"/>
  <c r="AA57" i="1"/>
  <c r="AA58" i="1"/>
  <c r="AB50" i="1"/>
  <c r="AB51" i="1"/>
  <c r="AB52" i="1"/>
  <c r="AB54" i="1"/>
  <c r="AB55" i="1"/>
  <c r="AB56" i="1"/>
  <c r="AB57" i="1"/>
  <c r="AB58" i="1"/>
  <c r="AC50" i="1"/>
  <c r="AC51" i="1"/>
  <c r="AC52" i="1"/>
  <c r="AC53" i="1"/>
  <c r="AC54" i="1"/>
  <c r="AC55" i="1"/>
  <c r="AC56" i="1"/>
  <c r="AC57" i="1"/>
  <c r="AC58" i="1"/>
  <c r="N45" i="1"/>
  <c r="N46" i="1"/>
  <c r="N47" i="1"/>
  <c r="N48" i="1"/>
  <c r="N49" i="1"/>
  <c r="T45" i="1"/>
  <c r="Y45" i="1" s="1"/>
  <c r="T46" i="1"/>
  <c r="Y46" i="1" s="1"/>
  <c r="T47" i="1"/>
  <c r="Y47" i="1" s="1"/>
  <c r="T48" i="1"/>
  <c r="Y48" i="1" s="1"/>
  <c r="T49" i="1"/>
  <c r="Y49" i="1" s="1"/>
  <c r="U45" i="1"/>
  <c r="X45" i="1" s="1"/>
  <c r="U46" i="1"/>
  <c r="X46" i="1" s="1"/>
  <c r="U47" i="1"/>
  <c r="X47" i="1" s="1"/>
  <c r="U48" i="1"/>
  <c r="X48" i="1" s="1"/>
  <c r="U49" i="1"/>
  <c r="X49" i="1" s="1"/>
  <c r="AA45" i="1"/>
  <c r="AA46" i="1"/>
  <c r="AA47" i="1"/>
  <c r="AA48" i="1"/>
  <c r="AA49" i="1"/>
  <c r="AB45" i="1"/>
  <c r="AB46" i="1"/>
  <c r="AB47" i="1"/>
  <c r="AB48" i="1"/>
  <c r="AB49" i="1"/>
  <c r="AC45" i="1"/>
  <c r="AC46" i="1"/>
  <c r="AC47" i="1"/>
  <c r="AC48" i="1"/>
  <c r="AC49" i="1"/>
  <c r="N40" i="1"/>
  <c r="N41" i="1"/>
  <c r="N42" i="1"/>
  <c r="N43" i="1"/>
  <c r="N44" i="1"/>
  <c r="T40" i="1"/>
  <c r="Y40" i="1" s="1"/>
  <c r="T41" i="1"/>
  <c r="Y41" i="1" s="1"/>
  <c r="T42" i="1"/>
  <c r="Y42" i="1" s="1"/>
  <c r="T43" i="1"/>
  <c r="Y43" i="1" s="1"/>
  <c r="T44" i="1"/>
  <c r="Y44" i="1" s="1"/>
  <c r="U40" i="1"/>
  <c r="X40" i="1" s="1"/>
  <c r="U41" i="1"/>
  <c r="X41" i="1" s="1"/>
  <c r="U42" i="1"/>
  <c r="X42" i="1" s="1"/>
  <c r="U43" i="1"/>
  <c r="X43" i="1" s="1"/>
  <c r="AA40" i="1"/>
  <c r="AA41" i="1"/>
  <c r="AA42" i="1"/>
  <c r="AA43" i="1"/>
  <c r="AA44" i="1"/>
  <c r="AB40" i="1"/>
  <c r="AB41" i="1"/>
  <c r="AB42" i="1"/>
  <c r="AB43" i="1"/>
  <c r="AC40" i="1"/>
  <c r="AC41" i="1"/>
  <c r="AC42" i="1"/>
  <c r="AC43" i="1"/>
  <c r="AC44" i="1"/>
  <c r="N35" i="1"/>
  <c r="N36" i="1"/>
  <c r="N37" i="1"/>
  <c r="N38" i="1"/>
  <c r="N39" i="1"/>
  <c r="T35" i="1"/>
  <c r="Y35" i="1" s="1"/>
  <c r="T36" i="1"/>
  <c r="Y36" i="1" s="1"/>
  <c r="T37" i="1"/>
  <c r="Y37" i="1" s="1"/>
  <c r="T38" i="1"/>
  <c r="Y38" i="1" s="1"/>
  <c r="T39" i="1"/>
  <c r="Y39" i="1" s="1"/>
  <c r="U35" i="1"/>
  <c r="X35" i="1" s="1"/>
  <c r="U36" i="1"/>
  <c r="X36" i="1" s="1"/>
  <c r="U37" i="1"/>
  <c r="X37" i="1" s="1"/>
  <c r="U38" i="1"/>
  <c r="X38" i="1" s="1"/>
  <c r="AA35" i="1"/>
  <c r="AA36" i="1"/>
  <c r="AA37" i="1"/>
  <c r="AA38" i="1"/>
  <c r="AA39" i="1"/>
  <c r="AB35" i="1"/>
  <c r="AB36" i="1"/>
  <c r="AB37" i="1"/>
  <c r="AB38" i="1"/>
  <c r="AC35" i="1"/>
  <c r="AC36" i="1"/>
  <c r="AC37" i="1"/>
  <c r="AC38" i="1"/>
  <c r="AC39" i="1"/>
  <c r="N32" i="1"/>
  <c r="N33" i="1"/>
  <c r="T32" i="1"/>
  <c r="Y32" i="1" s="1"/>
  <c r="T33" i="1"/>
  <c r="Y33" i="1" s="1"/>
  <c r="U32" i="1"/>
  <c r="X32" i="1" s="1"/>
  <c r="U33" i="1"/>
  <c r="X33" i="1" s="1"/>
  <c r="AA32" i="1"/>
  <c r="AA33" i="1"/>
  <c r="AB32" i="1"/>
  <c r="AB33" i="1"/>
  <c r="AC32" i="1"/>
  <c r="AC33" i="1"/>
  <c r="N31" i="1"/>
  <c r="T31" i="1"/>
  <c r="Y31" i="1" s="1"/>
  <c r="U31" i="1"/>
  <c r="X31" i="1" s="1"/>
  <c r="AA31" i="1"/>
  <c r="AB31" i="1"/>
  <c r="AC31" i="1"/>
  <c r="N30" i="1"/>
  <c r="T30" i="1"/>
  <c r="Y30" i="1" s="1"/>
  <c r="U30" i="1"/>
  <c r="X30" i="1" s="1"/>
  <c r="AA30" i="1"/>
  <c r="AB30" i="1"/>
  <c r="AC30" i="1"/>
  <c r="O28" i="1"/>
  <c r="N23" i="1"/>
  <c r="N24" i="1"/>
  <c r="N25" i="1"/>
  <c r="N26" i="1"/>
  <c r="N27" i="1"/>
  <c r="N28" i="1"/>
  <c r="N29" i="1"/>
  <c r="O24" i="1"/>
  <c r="T24" i="1" s="1"/>
  <c r="Y24" i="1" s="1"/>
  <c r="O25" i="1"/>
  <c r="T25" i="1" s="1"/>
  <c r="Y25" i="1" s="1"/>
  <c r="O26" i="1"/>
  <c r="T26" i="1" s="1"/>
  <c r="Y26" i="1" s="1"/>
  <c r="O27" i="1"/>
  <c r="T27" i="1" s="1"/>
  <c r="Y27" i="1" s="1"/>
  <c r="O23" i="1"/>
  <c r="O22" i="1"/>
  <c r="T22" i="1" s="1"/>
  <c r="Y22" i="1" s="1"/>
  <c r="U22" i="1"/>
  <c r="N22" i="1"/>
  <c r="O19" i="1"/>
  <c r="T19" i="1" s="1"/>
  <c r="Y19" i="1" s="1"/>
  <c r="O20" i="1"/>
  <c r="O21" i="1"/>
  <c r="T21" i="1" s="1"/>
  <c r="Y21" i="1" s="1"/>
  <c r="O17" i="1"/>
  <c r="N19" i="1"/>
  <c r="N20" i="1"/>
  <c r="N21" i="1"/>
  <c r="N18" i="1"/>
  <c r="AB22" i="1"/>
  <c r="AB28" i="1"/>
  <c r="AB29" i="1"/>
  <c r="AC9" i="1"/>
  <c r="AC10" i="1"/>
  <c r="AC19" i="1"/>
  <c r="AC20" i="1"/>
  <c r="AC21" i="1"/>
  <c r="AC22" i="1"/>
  <c r="AC23" i="1"/>
  <c r="AC24" i="1"/>
  <c r="AC25" i="1"/>
  <c r="AC26" i="1"/>
  <c r="AC27" i="1"/>
  <c r="AC28" i="1"/>
  <c r="AC29" i="1"/>
  <c r="AA19" i="1"/>
  <c r="AA21" i="1"/>
  <c r="AA22" i="1"/>
  <c r="AA24" i="1"/>
  <c r="AA25" i="1"/>
  <c r="AA26" i="1"/>
  <c r="AA27" i="1"/>
  <c r="AA28" i="1"/>
  <c r="AA29" i="1"/>
  <c r="U39" i="1" l="1"/>
  <c r="U44" i="1"/>
  <c r="U53" i="1"/>
  <c r="U19" i="1"/>
  <c r="AB19" i="1" s="1"/>
  <c r="U27" i="1"/>
  <c r="U26" i="1"/>
  <c r="AB26" i="1" s="1"/>
  <c r="U25" i="1"/>
  <c r="AB25" i="1" s="1"/>
  <c r="U24" i="1"/>
  <c r="AB24" i="1" s="1"/>
  <c r="U21" i="1"/>
  <c r="X26" i="1"/>
  <c r="T23" i="1"/>
  <c r="Y23" i="1" s="1"/>
  <c r="T20" i="1"/>
  <c r="Y20" i="1" s="1"/>
  <c r="O18" i="1"/>
  <c r="C5" i="2"/>
  <c r="C6" i="2"/>
  <c r="C7" i="2"/>
  <c r="C8" i="2"/>
  <c r="C9" i="2"/>
  <c r="C10" i="2"/>
  <c r="C11" i="2"/>
  <c r="C12" i="2"/>
  <c r="C13" i="2"/>
  <c r="C14" i="2"/>
  <c r="C15" i="2"/>
  <c r="C16" i="2"/>
  <c r="C15" i="7"/>
  <c r="C12" i="7"/>
  <c r="C13" i="7"/>
  <c r="C16" i="7"/>
  <c r="C14" i="7"/>
  <c r="O3" i="1"/>
  <c r="O4" i="1"/>
  <c r="AC4" i="1" s="1"/>
  <c r="O5" i="1"/>
  <c r="O6" i="1"/>
  <c r="O7" i="1"/>
  <c r="AC7" i="1" s="1"/>
  <c r="O8" i="1"/>
  <c r="AC8" i="1" s="1"/>
  <c r="O13" i="1"/>
  <c r="O14" i="1"/>
  <c r="AC14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O15" i="1"/>
  <c r="AC15" i="1" s="1"/>
  <c r="O16" i="1"/>
  <c r="AC16" i="1" s="1"/>
  <c r="O11" i="1"/>
  <c r="T11" i="1" s="1"/>
  <c r="E16" i="2"/>
  <c r="E15" i="2"/>
  <c r="E14" i="2"/>
  <c r="E13" i="2"/>
  <c r="E12" i="2"/>
  <c r="E11" i="2"/>
  <c r="E5" i="2"/>
  <c r="E6" i="2"/>
  <c r="E7" i="2"/>
  <c r="E8" i="2"/>
  <c r="E9" i="2"/>
  <c r="E10" i="2"/>
  <c r="G4" i="3"/>
  <c r="G5" i="3"/>
  <c r="G6" i="3"/>
  <c r="G7" i="3"/>
  <c r="G8" i="3"/>
  <c r="G9" i="3"/>
  <c r="G10" i="3"/>
  <c r="G11" i="3"/>
  <c r="G12" i="3"/>
  <c r="G13" i="3"/>
  <c r="G3" i="3"/>
  <c r="O12" i="1"/>
  <c r="E26" i="2"/>
  <c r="E27" i="2"/>
  <c r="E29" i="2"/>
  <c r="C24" i="2"/>
  <c r="C25" i="2"/>
  <c r="D25" i="2"/>
  <c r="C26" i="2"/>
  <c r="D26" i="2"/>
  <c r="C27" i="2"/>
  <c r="D27" i="2"/>
  <c r="C28" i="2"/>
  <c r="D28" i="2"/>
  <c r="C29" i="2"/>
  <c r="D29" i="2"/>
  <c r="C30" i="2"/>
  <c r="D30" i="2"/>
  <c r="F16" i="2"/>
  <c r="D10" i="2"/>
  <c r="F10" i="2"/>
  <c r="D11" i="2"/>
  <c r="F11" i="2"/>
  <c r="D12" i="2"/>
  <c r="F12" i="2"/>
  <c r="D13" i="2"/>
  <c r="F13" i="2"/>
  <c r="D14" i="2"/>
  <c r="F14" i="2"/>
  <c r="D15" i="2"/>
  <c r="F15" i="2"/>
  <c r="D9" i="2"/>
  <c r="F9" i="2"/>
  <c r="F5" i="2"/>
  <c r="F6" i="2"/>
  <c r="F7" i="2"/>
  <c r="F8" i="2"/>
  <c r="I7" i="10"/>
  <c r="M5" i="10"/>
  <c r="M4" i="10"/>
  <c r="I10" i="10"/>
  <c r="E3" i="10"/>
  <c r="E9" i="10" s="1"/>
  <c r="D13" i="3"/>
  <c r="E13" i="3"/>
  <c r="F13" i="3"/>
  <c r="C10" i="7"/>
  <c r="C9" i="7"/>
  <c r="C11" i="7"/>
  <c r="C8" i="7"/>
  <c r="C7" i="7"/>
  <c r="E10" i="7"/>
  <c r="E9" i="7"/>
  <c r="E11" i="7"/>
  <c r="E8" i="7"/>
  <c r="E7" i="7"/>
  <c r="E12" i="7"/>
  <c r="D8" i="3"/>
  <c r="D4" i="4"/>
  <c r="C4" i="4"/>
  <c r="C4" i="7"/>
  <c r="C5" i="7"/>
  <c r="C6" i="7"/>
  <c r="E4" i="7"/>
  <c r="E5" i="7"/>
  <c r="E6" i="7"/>
  <c r="D12" i="3"/>
  <c r="E12" i="3"/>
  <c r="F12" i="3"/>
  <c r="D11" i="3"/>
  <c r="E11" i="3"/>
  <c r="F11" i="3"/>
  <c r="C31" i="2"/>
  <c r="H4" i="1"/>
  <c r="H5" i="1"/>
  <c r="H6" i="1"/>
  <c r="H3" i="1"/>
  <c r="F10" i="3"/>
  <c r="E10" i="3"/>
  <c r="D10" i="3"/>
  <c r="F9" i="3"/>
  <c r="E9" i="3"/>
  <c r="D9" i="3"/>
  <c r="H4" i="5"/>
  <c r="J4" i="5" s="1"/>
  <c r="H3" i="5"/>
  <c r="J3" i="5" s="1"/>
  <c r="T15" i="1"/>
  <c r="Y15" i="1" s="1"/>
  <c r="T16" i="1"/>
  <c r="Y16" i="1" s="1"/>
  <c r="E8" i="3"/>
  <c r="F8" i="3"/>
  <c r="T10" i="1"/>
  <c r="Y10" i="1" s="1"/>
  <c r="E4" i="3"/>
  <c r="F4" i="3"/>
  <c r="E6" i="3"/>
  <c r="F6" i="3"/>
  <c r="E7" i="3"/>
  <c r="F7" i="3"/>
  <c r="E5" i="3"/>
  <c r="F5" i="3"/>
  <c r="F3" i="3"/>
  <c r="E3" i="3"/>
  <c r="D3" i="3"/>
  <c r="D4" i="3"/>
  <c r="D6" i="3"/>
  <c r="D7" i="3"/>
  <c r="D5" i="3"/>
  <c r="T4" i="1"/>
  <c r="Y4" i="1" s="1"/>
  <c r="T7" i="1"/>
  <c r="Y7" i="1" s="1"/>
  <c r="T9" i="1"/>
  <c r="Y9" i="1" s="1"/>
  <c r="U11" i="1" l="1"/>
  <c r="X53" i="1"/>
  <c r="AB53" i="1"/>
  <c r="X44" i="1"/>
  <c r="AB44" i="1"/>
  <c r="E30" i="2" s="1"/>
  <c r="X39" i="1"/>
  <c r="AB39" i="1"/>
  <c r="E28" i="2" s="1"/>
  <c r="AB21" i="1"/>
  <c r="U23" i="1"/>
  <c r="X23" i="1" s="1"/>
  <c r="X27" i="1"/>
  <c r="AB27" i="1"/>
  <c r="E25" i="2" s="1"/>
  <c r="AA23" i="1"/>
  <c r="AA20" i="1"/>
  <c r="D24" i="2" s="1"/>
  <c r="U20" i="1"/>
  <c r="T12" i="1"/>
  <c r="Y12" i="1" s="1"/>
  <c r="AC12" i="1"/>
  <c r="AC11" i="1"/>
  <c r="T17" i="1"/>
  <c r="Y17" i="1" s="1"/>
  <c r="AC17" i="1"/>
  <c r="T13" i="1"/>
  <c r="Y13" i="1" s="1"/>
  <c r="AC13" i="1"/>
  <c r="T6" i="1"/>
  <c r="Y6" i="1" s="1"/>
  <c r="AC6" i="1"/>
  <c r="T5" i="1"/>
  <c r="Y5" i="1" s="1"/>
  <c r="AC5" i="1"/>
  <c r="T3" i="1"/>
  <c r="Y3" i="1" s="1"/>
  <c r="AC3" i="1"/>
  <c r="T18" i="1"/>
  <c r="Y18" i="1" s="1"/>
  <c r="AC18" i="1"/>
  <c r="AA11" i="1"/>
  <c r="AA9" i="1"/>
  <c r="AA7" i="1"/>
  <c r="AA17" i="1"/>
  <c r="AA3" i="1"/>
  <c r="AA12" i="1"/>
  <c r="U15" i="1"/>
  <c r="AA15" i="1"/>
  <c r="U13" i="1"/>
  <c r="AA13" i="1"/>
  <c r="U4" i="1"/>
  <c r="X4" i="1" s="1"/>
  <c r="AA4" i="1"/>
  <c r="U6" i="1"/>
  <c r="X6" i="1" s="1"/>
  <c r="AA6" i="1"/>
  <c r="U16" i="1"/>
  <c r="AA16" i="1"/>
  <c r="U5" i="1"/>
  <c r="X5" i="1" s="1"/>
  <c r="AA5" i="1"/>
  <c r="U10" i="1"/>
  <c r="X10" i="1" s="1"/>
  <c r="AA10" i="1"/>
  <c r="AA18" i="1"/>
  <c r="T8" i="1"/>
  <c r="Y8" i="1" s="1"/>
  <c r="T14" i="1"/>
  <c r="Y14" i="1" s="1"/>
  <c r="C21" i="2"/>
  <c r="U9" i="1"/>
  <c r="X9" i="1" s="1"/>
  <c r="U7" i="1"/>
  <c r="X7" i="1" s="1"/>
  <c r="U3" i="1"/>
  <c r="X3" i="1" s="1"/>
  <c r="C23" i="2"/>
  <c r="D16" i="2"/>
  <c r="G16" i="2" s="1"/>
  <c r="H16" i="2" s="1"/>
  <c r="C22" i="2"/>
  <c r="D31" i="2"/>
  <c r="G11" i="2"/>
  <c r="H11" i="2" s="1"/>
  <c r="G10" i="2"/>
  <c r="H10" i="2" s="1"/>
  <c r="G13" i="2"/>
  <c r="H13" i="2" s="1"/>
  <c r="G15" i="2"/>
  <c r="H15" i="2" s="1"/>
  <c r="G9" i="2"/>
  <c r="H9" i="2" s="1"/>
  <c r="G12" i="2"/>
  <c r="H12" i="2" s="1"/>
  <c r="G14" i="2"/>
  <c r="H14" i="2" s="1"/>
  <c r="C20" i="2"/>
  <c r="D5" i="2"/>
  <c r="G5" i="2" s="1"/>
  <c r="D7" i="2"/>
  <c r="G7" i="2" s="1"/>
  <c r="U12" i="1" l="1"/>
  <c r="X12" i="1" s="1"/>
  <c r="U18" i="1"/>
  <c r="X20" i="1" s="1"/>
  <c r="AB23" i="1"/>
  <c r="AB3" i="1"/>
  <c r="AB11" i="1"/>
  <c r="AB5" i="1"/>
  <c r="AB6" i="1"/>
  <c r="AB13" i="1"/>
  <c r="AB12" i="1"/>
  <c r="AB20" i="1"/>
  <c r="E24" i="2" s="1"/>
  <c r="AB7" i="1"/>
  <c r="AB9" i="1"/>
  <c r="AB10" i="1"/>
  <c r="AB16" i="1"/>
  <c r="AB4" i="1"/>
  <c r="AB15" i="1"/>
  <c r="AB18" i="1"/>
  <c r="U17" i="1"/>
  <c r="D8" i="2"/>
  <c r="G8" i="2" s="1"/>
  <c r="U14" i="1"/>
  <c r="X17" i="1" s="1"/>
  <c r="AA8" i="1"/>
  <c r="D20" i="2"/>
  <c r="D6" i="2"/>
  <c r="G6" i="2" s="1"/>
  <c r="H6" i="2" s="1"/>
  <c r="U8" i="1"/>
  <c r="X8" i="1" s="1"/>
  <c r="AA14" i="1"/>
  <c r="D23" i="2" s="1"/>
  <c r="D21" i="2"/>
  <c r="D22" i="2"/>
  <c r="H7" i="2"/>
  <c r="E22" i="2"/>
  <c r="E31" i="2"/>
  <c r="H5" i="2"/>
  <c r="H8" i="2"/>
  <c r="AB17" i="1" l="1"/>
  <c r="AB8" i="1"/>
  <c r="AB14" i="1"/>
  <c r="E23" i="2"/>
  <c r="E21" i="2"/>
  <c r="E2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tc={5EBB85F2-8683-470E-A656-791F7C33BFFC}</author>
    <author>tc={B07261EB-46BD-4F4F-9629-E573E5B9B1F8}</author>
    <author>tc={631E03C3-378D-40D8-80C1-A9BEA0FB837B}</author>
    <author>tc={E9A13C76-5530-42C8-86D0-66A11DF8C9B8}</author>
    <author>tc={52788110-BF25-4B31-9B6A-BEE95F2C0BD6}</author>
    <author>tc={AE8F7EC8-D12D-448F-AF85-E6AD0772B050}</author>
    <author>tc={0147E350-C5FB-4623-B6CE-463CA93B4381}</author>
    <author>tc={BE6DEDE7-0FD6-44D0-BA52-129B56E4F84E}</author>
    <author>tc={18D07CED-8C1E-40F8-9FBB-D03ADA8EFB3C}</author>
    <author>tc={FC986E03-621B-420D-A708-4672EB58EBA1}</author>
    <author>tc={33CC9C98-A06B-4C33-B076-1064DB132EAC}</author>
    <author>tc={58D18214-70C3-4BF4-AAFD-E72CC007846A}</author>
    <author>tc={91B4789C-3304-439D-9007-A61C68F85C0D}</author>
    <author>tc={12A3A22C-6943-4010-9E86-A4FC44D8EB5E}</author>
    <author>tc={E40E993C-1F4C-498D-B4D0-7C3BFDD0CC8F}</author>
    <author>tc={F4141F97-9E04-4CE2-B222-305025987A25}</author>
    <author>tc={9CAD1A5B-4BC7-4BE3-BBC8-A2B084E611A9}</author>
  </authors>
  <commentList>
    <comment ref="S6" authorId="0" shapeId="0" xr:uid="{5EBB85F2-8683-470E-A656-791F7C33BFFC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Port Pass</t>
      </text>
    </comment>
    <comment ref="S11" authorId="1" shapeId="0" xr:uid="{B07261EB-46BD-4F4F-9629-E573E5B9B1F8}">
      <text>
        <t>[Threaded comment]
Your version of Excel allows you to read this threaded comment; however, any edits to it will get removed if the file is opened in a newer version of Excel. Learn more: https://go.microsoft.com/fwlink/?linkid=870924
Comment:
    bought 2 new tyres @ 35k each, mechanic 5k and transport and fixing 5k - Nb: truck had broken down enroute</t>
      </text>
    </comment>
    <comment ref="S14" authorId="2" shapeId="0" xr:uid="{631E03C3-378D-40D8-80C1-A9BEA0FB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2 new types @35k each
2 rims @12k each</t>
      </text>
    </comment>
    <comment ref="S18" authorId="3" shapeId="0" xr:uid="{E9A13C76-5530-42C8-86D0-66A11DF8C9B8}">
      <text>
        <t>[Threaded comment]
Your version of Excel allows you to read this threaded comment; however, any edits to it will get removed if the file is opened in a newer version of Excel. Learn more: https://go.microsoft.com/fwlink/?linkid=870924
Comment:
    20k additon for service</t>
      </text>
    </comment>
    <comment ref="S24" authorId="4" shapeId="0" xr:uid="{52788110-BF25-4B31-9B6A-BEE95F2C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Airbag replacement
Reply:
    + labour</t>
      </text>
    </comment>
    <comment ref="S25" authorId="5" shapeId="0" xr:uid="{AE8F7EC8-D12D-448F-AF85-E6AD0772B0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tire replacement
Reply:
    + transport (37,500 + 1,000)
</t>
      </text>
    </comment>
    <comment ref="D29" authorId="6" shapeId="0" xr:uid="{0147E350-C5FB-4623-B6CE-463CA93B43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return</t>
      </text>
    </comment>
    <comment ref="S30" authorId="7" shapeId="0" xr:uid="{BE6DEDE7-0FD6-44D0-BA52-129B56E4F84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Front body repairs</t>
      </text>
    </comment>
    <comment ref="D32" authorId="8" shapeId="0" xr:uid="{18D07CED-8C1E-40F8-9FBB-D03ADA8EFB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return</t>
      </text>
    </comment>
    <comment ref="S35" authorId="9" shapeId="0" xr:uid="{FC986E03-621B-420D-A708-4672EB58EBA1}">
      <text>
        <t>[Threaded comment]
Your version of Excel allows you to read this threaded comment; however, any edits to it will get removed if the file is opened in a newer version of Excel. Learn more: https://go.microsoft.com/fwlink/?linkid=870924
Comment:
    brakes, springs labou, transport etc</t>
      </text>
    </comment>
    <comment ref="D38" authorId="10" shapeId="0" xr:uid="{33CC9C98-A06B-4C33-B076-1064DB132EAC}">
      <text>
        <t>[Threaded comment]
Your version of Excel allows you to read this threaded comment; however, any edits to it will get removed if the file is opened in a newer version of Excel. Learn more: https://go.microsoft.com/fwlink/?linkid=870924
Comment:
    going to kampala empty and back with load</t>
      </text>
    </comment>
    <comment ref="S39" authorId="11" shapeId="0" xr:uid="{58D18214-70C3-4BF4-AAFD-E72CC007846A}">
      <text>
        <t>[Threaded comment]
Your version of Excel allows you to read this threaded comment; however, any edits to it will get removed if the file is opened in a newer version of Excel. Learn more: https://go.microsoft.com/fwlink/?linkid=870924
Comment:
    chloride exide battery</t>
      </text>
    </comment>
    <comment ref="S40" authorId="12" shapeId="0" xr:uid="{91B4789C-3304-439D-9007-A61C68F85C0D}">
      <text>
        <t>[Threaded comment]
Your version of Excel allows you to read this threaded comment; however, any edits to it will get removed if the file is opened in a newer version of Excel. Learn more: https://go.microsoft.com/fwlink/?linkid=870924
Comment:
    speed govenor renewal</t>
      </text>
    </comment>
    <comment ref="D44" authorId="13" shapeId="0" xr:uid="{12A3A22C-6943-4010-9E86-A4FC44D8EB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reefer - empty to Kampala</t>
      </text>
    </comment>
    <comment ref="S50" authorId="14" shapeId="0" xr:uid="{E40E993C-1F4C-498D-B4D0-7C3BFDD0CC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clutch kit</t>
      </text>
    </comment>
    <comment ref="D52" authorId="15" shapeId="0" xr:uid="{F4141F97-9E04-4CE2-B222-305025987A25}">
      <text>
        <t>[Threaded comment]
Your version of Excel allows you to read this threaded comment; however, any edits to it will get removed if the file is opened in a newer version of Excel. Learn more: https://go.microsoft.com/fwlink/?linkid=870924
Comment:
    going to Kampla empty, return with load</t>
      </text>
    </comment>
    <comment ref="S53" authorId="16" shapeId="0" xr:uid="{9CAD1A5B-4BC7-4BE3-BBC8-A2B084E611A9}">
      <text>
        <t>[Threaded comment]
Your version of Excel allows you to read this threaded comment; however, any edits to it will get removed if the file is opened in a newer version of Excel. Learn more: https://go.microsoft.com/fwlink/?linkid=870924
Comment:
    tire replacement</t>
      </text>
    </comment>
  </commentList>
</comments>
</file>

<file path=xl/sharedStrings.xml><?xml version="1.0" encoding="utf-8"?>
<sst xmlns="http://schemas.openxmlformats.org/spreadsheetml/2006/main" count="530" uniqueCount="284">
  <si>
    <t>Month</t>
  </si>
  <si>
    <t>Total Income</t>
  </si>
  <si>
    <t>Variable Expenses</t>
  </si>
  <si>
    <t>Fixed Expense</t>
  </si>
  <si>
    <t>Maintenance</t>
  </si>
  <si>
    <t>Total Expense</t>
  </si>
  <si>
    <t>Total Profit</t>
  </si>
  <si>
    <t>Fuel Efficiency</t>
  </si>
  <si>
    <t>Cost per KM</t>
  </si>
  <si>
    <t>Profit Margin</t>
  </si>
  <si>
    <t>Fuel (L)</t>
  </si>
  <si>
    <t>Expenditure</t>
  </si>
  <si>
    <t>Income</t>
  </si>
  <si>
    <t>KPI's</t>
  </si>
  <si>
    <t>Vehicle</t>
  </si>
  <si>
    <t>Date</t>
  </si>
  <si>
    <t>Origin</t>
  </si>
  <si>
    <t>Destination</t>
  </si>
  <si>
    <t>Start ODO</t>
  </si>
  <si>
    <t>End ODO</t>
  </si>
  <si>
    <t>Distance covered</t>
  </si>
  <si>
    <t>Standard Distance</t>
  </si>
  <si>
    <t>Mileage  (km)</t>
  </si>
  <si>
    <t>Fuel(L)</t>
  </si>
  <si>
    <t>Fuel Price (Per Litre)</t>
  </si>
  <si>
    <t>Gross Income</t>
  </si>
  <si>
    <t>Deposit Received</t>
  </si>
  <si>
    <t>Fuel Cost</t>
  </si>
  <si>
    <t>Driver Millage</t>
  </si>
  <si>
    <t>Turn-Boy</t>
  </si>
  <si>
    <t>Road Users fee</t>
  </si>
  <si>
    <t>Other Expenses</t>
  </si>
  <si>
    <t>Net Income</t>
  </si>
  <si>
    <t>Money Deposited at Bank</t>
  </si>
  <si>
    <t>Date Deposited</t>
  </si>
  <si>
    <t>Difference</t>
  </si>
  <si>
    <t>Gross Income2</t>
  </si>
  <si>
    <t>Progress Tracking</t>
  </si>
  <si>
    <t>Cost per KMs</t>
  </si>
  <si>
    <t>KDR 381K</t>
  </si>
  <si>
    <t>Mombasa</t>
  </si>
  <si>
    <t>Jinja</t>
  </si>
  <si>
    <t>Kampala</t>
  </si>
  <si>
    <t>Ruiru</t>
  </si>
  <si>
    <t>Tororo/Kampala</t>
  </si>
  <si>
    <t>Kapeka</t>
  </si>
  <si>
    <t>Export: Kampala</t>
  </si>
  <si>
    <t>Nairobi</t>
  </si>
  <si>
    <t>Mwea</t>
  </si>
  <si>
    <t>Column1</t>
  </si>
  <si>
    <t>Car Reg</t>
  </si>
  <si>
    <t>Millage</t>
  </si>
  <si>
    <t>Comm+loading</t>
  </si>
  <si>
    <t>Total Expediture</t>
  </si>
  <si>
    <t>Deposit</t>
  </si>
  <si>
    <t>KBK040B</t>
  </si>
  <si>
    <t>Return</t>
  </si>
  <si>
    <t>Monthly</t>
  </si>
  <si>
    <t>Expense Item</t>
  </si>
  <si>
    <t>Cost</t>
  </si>
  <si>
    <t>Frequency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</si>
  <si>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</si>
  <si>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</si>
  <si>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</si>
  <si>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</si>
  <si>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</si>
  <si>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</si>
  <si>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</si>
  <si>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</si>
  <si>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</si>
  <si>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</si>
  <si>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</si>
  <si>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</si>
  <si>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Lorry Insuarance</t>
  </si>
  <si>
    <t>Yearly</t>
  </si>
  <si>
    <t>Trailer Insuarance</t>
  </si>
  <si>
    <t>Licence and Permits</t>
  </si>
  <si>
    <t>Driver Salaries</t>
  </si>
  <si>
    <t>Admin Salaries</t>
  </si>
  <si>
    <t>Maintenance (Estimate)</t>
  </si>
  <si>
    <t>COMESA Lorry</t>
  </si>
  <si>
    <t>COMESA Trailer</t>
  </si>
  <si>
    <t>Vehicle Check- NTSA</t>
  </si>
  <si>
    <t>Trailer Check - NTSA</t>
  </si>
  <si>
    <t>Vehicle Reg</t>
  </si>
  <si>
    <t>Vehicle Type</t>
  </si>
  <si>
    <t>Task</t>
  </si>
  <si>
    <t>Qty</t>
  </si>
  <si>
    <t>Date Undertaken</t>
  </si>
  <si>
    <t>Next Due</t>
  </si>
  <si>
    <t>Odometer Reading</t>
  </si>
  <si>
    <t>Notes</t>
  </si>
  <si>
    <t>Additional Notes</t>
  </si>
  <si>
    <t>Oil Change</t>
  </si>
  <si>
    <t>ZH 5825</t>
  </si>
  <si>
    <t>Brake Pad Replacement</t>
  </si>
  <si>
    <t>Brake Disc Inspection</t>
  </si>
  <si>
    <t>Other</t>
  </si>
  <si>
    <t>Trailer Transfer -Via NTSA - Application submitted  on 04-Apr-2025 - Awaiting Verification</t>
  </si>
  <si>
    <t>Vehicle Transfer - Via NTSA - Application submited on 04-Apr-2025 - Awaiting Verification</t>
  </si>
  <si>
    <t>Removal of some sections of the DPF</t>
  </si>
  <si>
    <t xml:space="preserve">Checked the vehicle DPF and ECU. Some sections of the DPF Filter was removed due to carbon build-up.  </t>
  </si>
  <si>
    <t>Tyre Replacement</t>
  </si>
  <si>
    <t xml:space="preserve">Replacement of Tires on midlift axle - both sides. - between steering axle and diff. </t>
  </si>
  <si>
    <t>Left trailer airbag and labour charges</t>
  </si>
  <si>
    <t>Two Front Cabin shock</t>
  </si>
  <si>
    <t>Front Cabin Shock Labour Charge</t>
  </si>
  <si>
    <t>Vehicle Service</t>
  </si>
  <si>
    <t xml:space="preserve">Oil 40L, Oil filter, Fuel Filtera and Air dryer. </t>
  </si>
  <si>
    <t>???</t>
  </si>
  <si>
    <t>Trailer airbag and labour charges</t>
  </si>
  <si>
    <t>1 tire replacement</t>
  </si>
  <si>
    <t xml:space="preserve">6 axels </t>
  </si>
  <si>
    <t>configuration of axle load</t>
  </si>
  <si>
    <t>super single tyre - wide - installed - replaced with a rim - 2 rims nand 2 types</t>
  </si>
  <si>
    <t xml:space="preserve">Permissible gross weight - 46 </t>
  </si>
  <si>
    <t xml:space="preserve">1.5 tons </t>
  </si>
  <si>
    <t>Max gross weight - 47 Tons</t>
  </si>
  <si>
    <t>Trip Calculations</t>
  </si>
  <si>
    <t>Dolars</t>
  </si>
  <si>
    <t>Dolar Rate</t>
  </si>
  <si>
    <t>Kes</t>
  </si>
  <si>
    <t>Expenses</t>
  </si>
  <si>
    <t>Amount Quoted</t>
  </si>
  <si>
    <t>Drive</t>
  </si>
  <si>
    <t>Fuel</t>
  </si>
  <si>
    <t>Admin Fees</t>
  </si>
  <si>
    <t>Container Rent</t>
  </si>
  <si>
    <t>Profit</t>
  </si>
  <si>
    <t>Total</t>
  </si>
  <si>
    <t>Standard Rates</t>
  </si>
  <si>
    <t>Driver Rates</t>
  </si>
  <si>
    <t>Pricing (KES)</t>
  </si>
  <si>
    <t>Delay Rates</t>
  </si>
  <si>
    <t>Rate</t>
  </si>
  <si>
    <t>Broker Name</t>
  </si>
  <si>
    <t>Commission</t>
  </si>
  <si>
    <t xml:space="preserve">Salary </t>
  </si>
  <si>
    <t>30000 - 35000</t>
  </si>
  <si>
    <t xml:space="preserve">After 48 hours </t>
  </si>
  <si>
    <t>$100 per day</t>
  </si>
  <si>
    <t>Christine</t>
  </si>
  <si>
    <t>$50</t>
  </si>
  <si>
    <t>Trip</t>
  </si>
  <si>
    <t>Rates</t>
  </si>
  <si>
    <t>Mombasa - Kampala</t>
  </si>
  <si>
    <t>13,000 - 15,000</t>
  </si>
  <si>
    <t>Turn-boy only required for Congo Trip</t>
  </si>
  <si>
    <t>fuel</t>
  </si>
  <si>
    <t>Nairobi  - Kampala</t>
  </si>
  <si>
    <t>8,000 - 10,000</t>
  </si>
  <si>
    <t>900 L</t>
  </si>
  <si>
    <t>kampala - with empty</t>
  </si>
  <si>
    <t>Mombasa - Rwanda</t>
  </si>
  <si>
    <t>23,000 - 25,000</t>
  </si>
  <si>
    <t>1200 L</t>
  </si>
  <si>
    <t>with mzigo</t>
  </si>
  <si>
    <t>Mombasa - Juba</t>
  </si>
  <si>
    <t>Insuarance</t>
  </si>
  <si>
    <t>Call with Mombasa Cost</t>
  </si>
  <si>
    <t>Carrier Liability Insuarance</t>
  </si>
  <si>
    <t xml:space="preserve">Good - ngano, unga ya ngano, fertilizers, cement, rice, wheat, </t>
  </si>
  <si>
    <t xml:space="preserve">Create a proposal </t>
  </si>
  <si>
    <t>Good in transit</t>
  </si>
  <si>
    <t>company that owns the product</t>
  </si>
  <si>
    <t>Triggered</t>
  </si>
  <si>
    <t>G4S</t>
  </si>
  <si>
    <t>Wells Fargo</t>
  </si>
  <si>
    <t>Contact Information</t>
  </si>
  <si>
    <t>Amount of one carry</t>
  </si>
  <si>
    <t>Total Amount of carry per year</t>
  </si>
  <si>
    <t>Email</t>
  </si>
  <si>
    <t>Sales@mombasacomputers.com</t>
  </si>
  <si>
    <t xml:space="preserve">Addressessing </t>
  </si>
  <si>
    <t>5m</t>
  </si>
  <si>
    <t>50m</t>
  </si>
  <si>
    <t>Momabasa Computers</t>
  </si>
  <si>
    <t>Speaking</t>
  </si>
  <si>
    <t>Daisy</t>
  </si>
  <si>
    <t>Insurance</t>
  </si>
  <si>
    <t xml:space="preserve">Madison </t>
  </si>
  <si>
    <t>Amaco</t>
  </si>
  <si>
    <t>Majani Insurance</t>
  </si>
  <si>
    <t>Cecile</t>
  </si>
  <si>
    <t>Watene</t>
  </si>
  <si>
    <t>Senga Ship Happy</t>
  </si>
  <si>
    <t>https://senga.co</t>
  </si>
  <si>
    <t>Contact information</t>
  </si>
  <si>
    <t xml:space="preserve">cwatene@majaninsure.com </t>
  </si>
  <si>
    <t>Contact</t>
  </si>
  <si>
    <t>Tracy Ayuma</t>
  </si>
  <si>
    <t>skendi@majaninsure.com</t>
  </si>
  <si>
    <t>Reach out through whatsapp</t>
  </si>
  <si>
    <t>Based on availablity</t>
  </si>
  <si>
    <t xml:space="preserve">Negotiate based on the work. </t>
  </si>
  <si>
    <t>Phone Number</t>
  </si>
  <si>
    <t>Office</t>
  </si>
  <si>
    <t>0709 619 427</t>
  </si>
  <si>
    <t>Personal</t>
  </si>
  <si>
    <t>0714 328 989</t>
  </si>
  <si>
    <t>Companies</t>
  </si>
  <si>
    <t>Contanainer (ft)</t>
  </si>
  <si>
    <t>Cost to buy</t>
  </si>
  <si>
    <t>Cost to Rent</t>
  </si>
  <si>
    <t>Contact Number</t>
  </si>
  <si>
    <t>Column4</t>
  </si>
  <si>
    <t>Premium Containers Kenya</t>
  </si>
  <si>
    <t>Per day</t>
  </si>
  <si>
    <t>Ben</t>
  </si>
  <si>
    <t>0720 347 339</t>
  </si>
  <si>
    <t>Container World Kenya</t>
  </si>
  <si>
    <t>Per Day</t>
  </si>
  <si>
    <t>30 days minimum hiring and business needs be in operation for 10 years</t>
  </si>
  <si>
    <t>Ideal Container</t>
  </si>
  <si>
    <t>Martin</t>
  </si>
  <si>
    <t>0788 383 335</t>
  </si>
  <si>
    <t>Cubes and Containers Design Kenya</t>
  </si>
  <si>
    <t>no rent</t>
  </si>
  <si>
    <t>From Nai</t>
  </si>
  <si>
    <t>From Msa</t>
  </si>
  <si>
    <t>Container Design Africa</t>
  </si>
  <si>
    <t>360000 + vat</t>
  </si>
  <si>
    <t>No rent</t>
  </si>
  <si>
    <t>200000 + vat</t>
  </si>
  <si>
    <t>Containers By Litu</t>
  </si>
  <si>
    <t>Hudson</t>
  </si>
  <si>
    <t>0722 334 596</t>
  </si>
  <si>
    <t>Open to rent  and leave it in kampala</t>
  </si>
  <si>
    <t>Containers 254 Ltd</t>
  </si>
  <si>
    <t>No Rent</t>
  </si>
  <si>
    <t>Celestine</t>
  </si>
  <si>
    <t>0722 852 575</t>
  </si>
  <si>
    <t>Catalytic converter</t>
  </si>
  <si>
    <t>There Because of Adblue</t>
  </si>
  <si>
    <t>Remove Cataltic converter</t>
  </si>
  <si>
    <t>DPF Lockdown</t>
  </si>
  <si>
    <t>dpf system</t>
  </si>
  <si>
    <t>regenation</t>
  </si>
  <si>
    <t>Awaiting Payment</t>
  </si>
  <si>
    <t>10,000 km</t>
  </si>
  <si>
    <t>Lorry</t>
  </si>
  <si>
    <t>Pending Return</t>
  </si>
  <si>
    <t>Coolant Flush</t>
  </si>
  <si>
    <t>Trailer</t>
  </si>
  <si>
    <t>Deposit Only</t>
  </si>
  <si>
    <t>Transmission Fluid Change</t>
  </si>
  <si>
    <t>40,000 km</t>
  </si>
  <si>
    <t>Fully Paid</t>
  </si>
  <si>
    <t>Brake Fluid Flush</t>
  </si>
  <si>
    <t>Every 2 years</t>
  </si>
  <si>
    <t>Power Steering Fluid Top-up</t>
  </si>
  <si>
    <t>Every 20,000 km</t>
  </si>
  <si>
    <t>Fuel Filter Replacement</t>
  </si>
  <si>
    <t>20,000 km</t>
  </si>
  <si>
    <t>15,000 km</t>
  </si>
  <si>
    <t>Suspension Check</t>
  </si>
  <si>
    <t>Every 6 months</t>
  </si>
  <si>
    <t>Wheel Alignment &amp; Balancing</t>
  </si>
  <si>
    <t>Engine Belt Inspection</t>
  </si>
  <si>
    <t>Every 30,000 km</t>
  </si>
  <si>
    <t>Differential Oil Change</t>
  </si>
  <si>
    <t>Clutch Adjustment</t>
  </si>
  <si>
    <t>Annually</t>
  </si>
  <si>
    <t>Tyre Pressure Check</t>
  </si>
  <si>
    <t>Weekly</t>
  </si>
  <si>
    <t>Tyre Rotation</t>
  </si>
  <si>
    <t>Every 50,000 km</t>
  </si>
  <si>
    <t>Spare Tyre Check</t>
  </si>
  <si>
    <t>Battery Inspection</t>
  </si>
  <si>
    <t>Alternator Check</t>
  </si>
  <si>
    <t>Lights &amp; Indicators Check</t>
  </si>
  <si>
    <t>Wiring Inspection</t>
  </si>
  <si>
    <t>Wiper Replacement</t>
  </si>
  <si>
    <t>AC/Heater Service</t>
  </si>
  <si>
    <t>Cabin Air Filter Change</t>
  </si>
  <si>
    <t>Full Vehicle Inspection</t>
  </si>
  <si>
    <t>Chassis &amp; Underbody Check</t>
  </si>
  <si>
    <t>Every 3 months</t>
  </si>
  <si>
    <t>Lubrication of Moving Parts</t>
  </si>
  <si>
    <t>Cleaning / Detailing</t>
  </si>
  <si>
    <t>Tracker/Telematics Check</t>
  </si>
  <si>
    <t>Speed Governor Calibration</t>
  </si>
  <si>
    <t>Emission Test</t>
  </si>
  <si>
    <t>Distance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</si>
</sst>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-409]dd\-mmm\-yy;@"/>
    <numFmt numFmtId="166" formatCode="0.00000"/>
    <numFmt numFmtId="167" formatCode="#,##0.00000"/>
  </numFmts>
  <fonts count="1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u/>
      <sz val="12"/>
      <color theme="1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5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0" borderId="1" xfId="0" applyBorder="1"/>
    <xf numFmtId="4" fontId="0" fillId="0" borderId="1" xfId="0" applyNumberFormat="1" applyBorder="1"/>
    <xf numFmtId="4" fontId="0" fillId="0" borderId="6" xfId="0" applyNumberFormat="1" applyBorder="1"/>
    <xf numFmtId="0" fontId="0" fillId="0" borderId="8" xfId="0" applyBorder="1"/>
    <xf numFmtId="4" fontId="0" fillId="0" borderId="8" xfId="0" applyNumberFormat="1" applyBorder="1"/>
    <xf numFmtId="4" fontId="0" fillId="0" borderId="9" xfId="0" applyNumberFormat="1" applyBorder="1"/>
    <xf numFmtId="17" fontId="0" fillId="0" borderId="3" xfId="0" applyNumberFormat="1" applyBorder="1"/>
    <xf numFmtId="17" fontId="0" fillId="0" borderId="4" xfId="0" applyNumberFormat="1" applyBorder="1"/>
    <xf numFmtId="17" fontId="0" fillId="0" borderId="5" xfId="0" applyNumberFormat="1" applyBorder="1"/>
    <xf numFmtId="3" fontId="2" fillId="0" borderId="1" xfId="0" applyNumberFormat="1" applyFont="1" applyBorder="1"/>
    <xf numFmtId="0" fontId="2" fillId="0" borderId="1" xfId="0" applyFont="1" applyBorder="1"/>
    <xf numFmtId="3" fontId="0" fillId="0" borderId="1" xfId="0" applyNumberFormat="1" applyBorder="1"/>
    <xf numFmtId="17" fontId="0" fillId="0" borderId="7" xfId="0" applyNumberFormat="1" applyBorder="1"/>
    <xf numFmtId="3" fontId="2" fillId="0" borderId="8" xfId="0" applyNumberFormat="1" applyFont="1" applyBorder="1"/>
    <xf numFmtId="0" fontId="2" fillId="0" borderId="8" xfId="0" applyFont="1" applyBorder="1"/>
    <xf numFmtId="3" fontId="0" fillId="0" borderId="8" xfId="0" applyNumberFormat="1" applyBorder="1"/>
    <xf numFmtId="0" fontId="0" fillId="0" borderId="0" xfId="0" applyAlignment="1">
      <alignment horizontal="left"/>
    </xf>
    <xf numFmtId="164" fontId="0" fillId="2" borderId="5" xfId="0" applyNumberFormat="1" applyFill="1" applyBorder="1"/>
    <xf numFmtId="164" fontId="0" fillId="0" borderId="5" xfId="0" applyNumberFormat="1" applyBorder="1"/>
    <xf numFmtId="164" fontId="0" fillId="0" borderId="7" xfId="0" applyNumberFormat="1" applyBorder="1"/>
    <xf numFmtId="14" fontId="0" fillId="0" borderId="0" xfId="0" applyNumberFormat="1"/>
    <xf numFmtId="4" fontId="0" fillId="0" borderId="0" xfId="0" applyNumberFormat="1"/>
    <xf numFmtId="4" fontId="0" fillId="4" borderId="1" xfId="0" applyNumberFormat="1" applyFill="1" applyBorder="1"/>
    <xf numFmtId="4" fontId="0" fillId="4" borderId="6" xfId="0" applyNumberFormat="1" applyFill="1" applyBorder="1"/>
    <xf numFmtId="4" fontId="0" fillId="4" borderId="8" xfId="0" applyNumberFormat="1" applyFill="1" applyBorder="1"/>
    <xf numFmtId="0" fontId="7" fillId="0" borderId="1" xfId="0" applyFont="1" applyBorder="1"/>
    <xf numFmtId="4" fontId="0" fillId="5" borderId="1" xfId="0" applyNumberFormat="1" applyFill="1" applyBorder="1"/>
    <xf numFmtId="4" fontId="0" fillId="5" borderId="8" xfId="0" applyNumberFormat="1" applyFill="1" applyBorder="1"/>
    <xf numFmtId="4" fontId="0" fillId="6" borderId="1" xfId="0" applyNumberFormat="1" applyFill="1" applyBorder="1"/>
    <xf numFmtId="4" fontId="0" fillId="6" borderId="8" xfId="0" applyNumberFormat="1" applyFill="1" applyBorder="1"/>
    <xf numFmtId="0" fontId="5" fillId="0" borderId="0" xfId="0" applyFont="1" applyAlignment="1">
      <alignment vertical="center"/>
    </xf>
    <xf numFmtId="0" fontId="7" fillId="0" borderId="8" xfId="0" applyFont="1" applyBorder="1"/>
    <xf numFmtId="4" fontId="0" fillId="0" borderId="4" xfId="0" applyNumberFormat="1" applyBorder="1"/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9" fillId="3" borderId="13" xfId="0" applyFont="1" applyFill="1" applyBorder="1"/>
    <xf numFmtId="0" fontId="0" fillId="0" borderId="15" xfId="0" applyBorder="1"/>
    <xf numFmtId="0" fontId="9" fillId="0" borderId="15" xfId="0" applyFont="1" applyBorder="1"/>
    <xf numFmtId="0" fontId="9" fillId="0" borderId="14" xfId="0" applyFont="1" applyBorder="1"/>
    <xf numFmtId="0" fontId="9" fillId="0" borderId="16" xfId="0" applyFont="1" applyBorder="1"/>
    <xf numFmtId="0" fontId="10" fillId="0" borderId="0" xfId="0" applyFont="1"/>
    <xf numFmtId="0" fontId="4" fillId="0" borderId="0" xfId="0" applyFont="1" applyAlignment="1">
      <alignment horizontal="left"/>
    </xf>
    <xf numFmtId="0" fontId="11" fillId="0" borderId="1" xfId="0" applyFont="1" applyBorder="1"/>
    <xf numFmtId="0" fontId="3" fillId="0" borderId="0" xfId="0" applyFont="1"/>
    <xf numFmtId="0" fontId="0" fillId="0" borderId="17" xfId="0" applyBorder="1"/>
    <xf numFmtId="0" fontId="0" fillId="2" borderId="0" xfId="0" applyFill="1"/>
    <xf numFmtId="0" fontId="13" fillId="0" borderId="0" xfId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6" borderId="0" xfId="0" applyFill="1" applyAlignment="1">
      <alignment vertical="center"/>
    </xf>
    <xf numFmtId="3" fontId="0" fillId="6" borderId="0" xfId="0" applyNumberFormat="1" applyFill="1" applyAlignment="1">
      <alignment vertical="center"/>
    </xf>
    <xf numFmtId="3" fontId="0" fillId="0" borderId="0" xfId="0" applyNumberFormat="1" applyAlignment="1">
      <alignment horizontal="right"/>
    </xf>
    <xf numFmtId="0" fontId="0" fillId="7" borderId="0" xfId="0" applyFill="1" applyAlignment="1">
      <alignment vertical="center"/>
    </xf>
    <xf numFmtId="3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 wrapText="1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3" fontId="10" fillId="0" borderId="1" xfId="0" applyNumberFormat="1" applyFont="1" applyBorder="1"/>
    <xf numFmtId="3" fontId="10" fillId="0" borderId="1" xfId="0" applyNumberFormat="1" applyFont="1" applyBorder="1" applyAlignment="1">
      <alignment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3" fontId="5" fillId="0" borderId="11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 wrapText="1"/>
    </xf>
    <xf numFmtId="4" fontId="0" fillId="8" borderId="1" xfId="0" applyNumberFormat="1" applyFill="1" applyBorder="1"/>
    <xf numFmtId="4" fontId="0" fillId="8" borderId="8" xfId="0" applyNumberFormat="1" applyFill="1" applyBorder="1"/>
    <xf numFmtId="3" fontId="0" fillId="8" borderId="17" xfId="0" applyNumberFormat="1" applyFill="1" applyBorder="1"/>
    <xf numFmtId="3" fontId="0" fillId="8" borderId="8" xfId="0" applyNumberFormat="1" applyFill="1" applyBorder="1"/>
    <xf numFmtId="3" fontId="7" fillId="8" borderId="8" xfId="0" applyNumberFormat="1" applyFont="1" applyFill="1" applyBorder="1"/>
    <xf numFmtId="3" fontId="0" fillId="8" borderId="1" xfId="0" applyNumberFormat="1" applyFill="1" applyBorder="1"/>
    <xf numFmtId="4" fontId="0" fillId="6" borderId="3" xfId="0" applyNumberFormat="1" applyFill="1" applyBorder="1"/>
    <xf numFmtId="164" fontId="0" fillId="9" borderId="5" xfId="0" applyNumberFormat="1" applyFill="1" applyBorder="1"/>
    <xf numFmtId="0" fontId="0" fillId="9" borderId="1" xfId="0" applyFill="1" applyBorder="1"/>
    <xf numFmtId="164" fontId="0" fillId="10" borderId="5" xfId="0" applyNumberFormat="1" applyFill="1" applyBorder="1"/>
    <xf numFmtId="0" fontId="0" fillId="10" borderId="1" xfId="0" applyFill="1" applyBorder="1"/>
    <xf numFmtId="0" fontId="7" fillId="10" borderId="1" xfId="0" applyFont="1" applyFill="1" applyBorder="1"/>
    <xf numFmtId="164" fontId="0" fillId="10" borderId="7" xfId="0" applyNumberFormat="1" applyFill="1" applyBorder="1"/>
    <xf numFmtId="0" fontId="0" fillId="10" borderId="8" xfId="0" applyFill="1" applyBorder="1"/>
    <xf numFmtId="165" fontId="0" fillId="6" borderId="1" xfId="0" applyNumberFormat="1" applyFill="1" applyBorder="1"/>
    <xf numFmtId="165" fontId="0" fillId="6" borderId="8" xfId="0" applyNumberFormat="1" applyFill="1" applyBorder="1"/>
    <xf numFmtId="4" fontId="0" fillId="11" borderId="1" xfId="0" applyNumberFormat="1" applyFill="1" applyBorder="1"/>
    <xf numFmtId="165" fontId="0" fillId="11" borderId="1" xfId="0" applyNumberFormat="1" applyFill="1" applyBorder="1"/>
    <xf numFmtId="4" fontId="0" fillId="11" borderId="6" xfId="0" applyNumberFormat="1" applyFill="1" applyBorder="1"/>
    <xf numFmtId="4" fontId="0" fillId="11" borderId="4" xfId="0" applyNumberFormat="1" applyFill="1" applyBorder="1"/>
    <xf numFmtId="4" fontId="0" fillId="12" borderId="1" xfId="0" applyNumberFormat="1" applyFill="1" applyBorder="1"/>
    <xf numFmtId="165" fontId="0" fillId="12" borderId="1" xfId="0" applyNumberFormat="1" applyFill="1" applyBorder="1"/>
    <xf numFmtId="4" fontId="0" fillId="12" borderId="6" xfId="0" applyNumberFormat="1" applyFill="1" applyBorder="1"/>
    <xf numFmtId="4" fontId="0" fillId="12" borderId="4" xfId="0" applyNumberFormat="1" applyFill="1" applyBorder="1"/>
    <xf numFmtId="4" fontId="0" fillId="12" borderId="8" xfId="0" applyNumberFormat="1" applyFill="1" applyBorder="1"/>
    <xf numFmtId="165" fontId="0" fillId="12" borderId="8" xfId="0" applyNumberFormat="1" applyFill="1" applyBorder="1"/>
    <xf numFmtId="4" fontId="0" fillId="13" borderId="1" xfId="0" applyNumberFormat="1" applyFill="1" applyBorder="1"/>
    <xf numFmtId="4" fontId="0" fillId="5" borderId="17" xfId="0" applyNumberFormat="1" applyFill="1" applyBorder="1"/>
    <xf numFmtId="10" fontId="0" fillId="0" borderId="4" xfId="0" applyNumberFormat="1" applyBorder="1"/>
    <xf numFmtId="10" fontId="0" fillId="11" borderId="4" xfId="0" applyNumberFormat="1" applyFill="1" applyBorder="1"/>
    <xf numFmtId="10" fontId="0" fillId="12" borderId="4" xfId="0" applyNumberFormat="1" applyFill="1" applyBorder="1"/>
    <xf numFmtId="166" fontId="0" fillId="0" borderId="4" xfId="0" applyNumberFormat="1" applyBorder="1"/>
    <xf numFmtId="166" fontId="0" fillId="11" borderId="4" xfId="0" applyNumberFormat="1" applyFill="1" applyBorder="1"/>
    <xf numFmtId="166" fontId="0" fillId="12" borderId="4" xfId="0" applyNumberFormat="1" applyFill="1" applyBorder="1"/>
    <xf numFmtId="167" fontId="0" fillId="0" borderId="0" xfId="0" applyNumberFormat="1"/>
    <xf numFmtId="4" fontId="0" fillId="14" borderId="8" xfId="0" applyNumberFormat="1" applyFill="1" applyBorder="1"/>
    <xf numFmtId="4" fontId="0" fillId="14" borderId="1" xfId="0" applyNumberFormat="1" applyFill="1" applyBorder="1"/>
    <xf numFmtId="165" fontId="0" fillId="14" borderId="8" xfId="0" applyNumberFormat="1" applyFill="1" applyBorder="1"/>
    <xf numFmtId="165" fontId="0" fillId="8" borderId="8" xfId="0" applyNumberFormat="1" applyFill="1" applyBorder="1"/>
    <xf numFmtId="165" fontId="0" fillId="13" borderId="1" xfId="0" applyNumberFormat="1" applyFill="1" applyBorder="1"/>
    <xf numFmtId="165" fontId="0" fillId="14" borderId="1" xfId="0" applyNumberFormat="1" applyFill="1" applyBorder="1"/>
    <xf numFmtId="165" fontId="0" fillId="8" borderId="1" xfId="0" applyNumberFormat="1" applyFill="1" applyBorder="1"/>
    <xf numFmtId="3" fontId="0" fillId="4" borderId="8" xfId="0" applyNumberFormat="1" applyFill="1" applyBorder="1"/>
    <xf numFmtId="3" fontId="0" fillId="4" borderId="1" xfId="0" applyNumberFormat="1" applyFill="1" applyBorder="1"/>
    <xf numFmtId="165" fontId="0" fillId="4" borderId="1" xfId="0" applyNumberFormat="1" applyFill="1" applyBorder="1"/>
    <xf numFmtId="4" fontId="7" fillId="15" borderId="8" xfId="0" applyNumberFormat="1" applyFont="1" applyFill="1" applyBorder="1"/>
    <xf numFmtId="10" fontId="0" fillId="0" borderId="1" xfId="0" applyNumberFormat="1" applyBorder="1"/>
    <xf numFmtId="166" fontId="0" fillId="0" borderId="18" xfId="0" applyNumberFormat="1" applyBorder="1"/>
    <xf numFmtId="10" fontId="0" fillId="0" borderId="8" xfId="0" applyNumberFormat="1" applyBorder="1"/>
    <xf numFmtId="166" fontId="0" fillId="0" borderId="19" xfId="0" applyNumberFormat="1" applyBorder="1"/>
    <xf numFmtId="0" fontId="0" fillId="0" borderId="9" xfId="0" applyBorder="1"/>
    <xf numFmtId="3" fontId="0" fillId="8" borderId="7" xfId="0" applyNumberFormat="1" applyFill="1" applyBorder="1"/>
    <xf numFmtId="3" fontId="0" fillId="8" borderId="20" xfId="0" applyNumberFormat="1" applyFill="1" applyBorder="1"/>
    <xf numFmtId="3" fontId="0" fillId="8" borderId="21" xfId="0" applyNumberFormat="1" applyFill="1" applyBorder="1"/>
    <xf numFmtId="3" fontId="0" fillId="8" borderId="22" xfId="0" applyNumberFormat="1" applyFill="1" applyBorder="1"/>
    <xf numFmtId="4" fontId="0" fillId="5" borderId="21" xfId="0" applyNumberFormat="1" applyFill="1" applyBorder="1"/>
    <xf numFmtId="4" fontId="0" fillId="5" borderId="22" xfId="0" applyNumberFormat="1" applyFill="1" applyBorder="1"/>
    <xf numFmtId="4" fontId="0" fillId="6" borderId="20" xfId="0" applyNumberFormat="1" applyFill="1" applyBorder="1"/>
    <xf numFmtId="4" fontId="0" fillId="6" borderId="21" xfId="0" applyNumberFormat="1" applyFill="1" applyBorder="1"/>
    <xf numFmtId="4" fontId="0" fillId="6" borderId="22" xfId="0" applyNumberFormat="1" applyFill="1" applyBorder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" fontId="0" fillId="0" borderId="6" xfId="0" applyNumberFormat="1" applyFill="1" applyBorder="1"/>
    <xf numFmtId="4" fontId="0" fillId="0" borderId="1" xfId="0" applyNumberFormat="1" applyFill="1" applyBorder="1"/>
    <xf numFmtId="10" fontId="0" fillId="0" borderId="1" xfId="0" applyNumberFormat="1" applyFill="1" applyBorder="1"/>
    <xf numFmtId="166" fontId="0" fillId="0" borderId="18" xfId="0" applyNumberFormat="1" applyFill="1" applyBorder="1"/>
    <xf numFmtId="4" fontId="0" fillId="12" borderId="17" xfId="0" applyNumberFormat="1" applyFill="1" applyBorder="1"/>
    <xf numFmtId="4" fontId="0" fillId="16" borderId="8" xfId="0" applyNumberFormat="1" applyFill="1" applyBorder="1"/>
    <xf numFmtId="4" fontId="0" fillId="16" borderId="1" xfId="0" applyNumberFormat="1" applyFill="1" applyBorder="1"/>
    <xf numFmtId="165" fontId="0" fillId="16" borderId="1" xfId="0" applyNumberFormat="1" applyFill="1" applyBorder="1"/>
    <xf numFmtId="4" fontId="0" fillId="8" borderId="17" xfId="0" applyNumberFormat="1" applyFill="1" applyBorder="1"/>
    <xf numFmtId="4" fontId="0" fillId="12" borderId="20" xfId="0" applyNumberFormat="1" applyFill="1" applyBorder="1"/>
    <xf numFmtId="4" fontId="0" fillId="14" borderId="21" xfId="0" applyNumberFormat="1" applyFill="1" applyBorder="1"/>
    <xf numFmtId="4" fontId="0" fillId="11" borderId="21" xfId="0" applyNumberFormat="1" applyFill="1" applyBorder="1"/>
    <xf numFmtId="3" fontId="0" fillId="15" borderId="1" xfId="0" applyNumberFormat="1" applyFill="1" applyBorder="1"/>
    <xf numFmtId="4" fontId="0" fillId="17" borderId="1" xfId="0" applyNumberFormat="1" applyFill="1" applyBorder="1"/>
    <xf numFmtId="4" fontId="0" fillId="17" borderId="8" xfId="0" applyNumberFormat="1" applyFill="1" applyBorder="1"/>
  </cellXfs>
  <cellStyles count="2">
    <cellStyle name="Hyperlink" xfId="1" builtinId="8"/>
    <cellStyle name="Normal" xfId="0" builtinId="0"/>
  </cellStyles>
  <dxfs count="106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theme="4" tint="0.79998168889431442"/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center" textRotation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</font>
      <numFmt numFmtId="164" formatCode="[$-409]d\-mmm\-yyyy;@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</font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\-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8" formatCode="dd/mm/yyyy"/>
    </dxf>
    <dxf>
      <numFmt numFmtId="166" formatCode="0.000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d\-mmm\-yy;@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4" formatCode="#,##0.00"/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" formatCode="#,##0"/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\-yyyy;@"/>
      <fill>
        <patternFill patternType="solid">
          <fgColor indexed="64"/>
          <bgColor theme="0" tint="-0.249977111117893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3" formatCode="#,##0"/>
    </dxf>
    <dxf>
      <numFmt numFmtId="167" formatCode="#,##0.00000"/>
    </dxf>
    <dxf>
      <numFmt numFmtId="22" formatCode="mmm\-yy"/>
    </dxf>
    <dxf>
      <alignment horizontal="lef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2" formatCode="mmm\-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Income</a:t>
            </a:r>
            <a:r>
              <a:rPr lang="en-GB" baseline="0"/>
              <a:t> Vs Expenses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Dashboard!$B$5:$B$16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Dashboard!$C$5:$C$16</c:f>
              <c:numCache>
                <c:formatCode>#,##0</c:formatCode>
                <c:ptCount val="12"/>
                <c:pt idx="0">
                  <c:v>800000</c:v>
                </c:pt>
                <c:pt idx="1">
                  <c:v>725000</c:v>
                </c:pt>
                <c:pt idx="2">
                  <c:v>780000</c:v>
                </c:pt>
                <c:pt idx="3">
                  <c:v>1265400</c:v>
                </c:pt>
                <c:pt idx="4">
                  <c:v>730200</c:v>
                </c:pt>
                <c:pt idx="5">
                  <c:v>810000</c:v>
                </c:pt>
                <c:pt idx="6">
                  <c:v>925200</c:v>
                </c:pt>
                <c:pt idx="7">
                  <c:v>1350000</c:v>
                </c:pt>
                <c:pt idx="8">
                  <c:v>800000</c:v>
                </c:pt>
                <c:pt idx="9">
                  <c:v>540000</c:v>
                </c:pt>
                <c:pt idx="10">
                  <c:v>810000</c:v>
                </c:pt>
                <c:pt idx="11">
                  <c:v>805000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0-4A4E-9DFE-4191527CE8EB}"/>
            </c:ext>
          </c:extLst>
        </c:ser>
        <c:ser>
          <c:idx val="2"/>
          <c:order val="1"/>
          <c:tx>
            <c:v>Total Expense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Dashboard!$B$5:$B$16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Dashboard!$G$5:$G$16</c:f>
              <c:numCache>
                <c:formatCode>#,##0</c:formatCode>
                <c:ptCount val="12"/>
                <c:pt idx="0">
                  <c:v>628706.16666666663</c:v>
                </c:pt>
                <c:pt idx="1">
                  <c:v>549786.16666666663</c:v>
                </c:pt>
                <c:pt idx="2">
                  <c:v>716751.16666666663</c:v>
                </c:pt>
                <c:pt idx="3">
                  <c:v>1264626.1666666667</c:v>
                </c:pt>
                <c:pt idx="4">
                  <c:v>496176</c:v>
                </c:pt>
                <c:pt idx="5">
                  <c:v>597510</c:v>
                </c:pt>
                <c:pt idx="6">
                  <c:v>252094</c:v>
                </c:pt>
                <c:pt idx="7">
                  <c:v>983231</c:v>
                </c:pt>
                <c:pt idx="8">
                  <c:v>589174.80000000005</c:v>
                </c:pt>
                <c:pt idx="9">
                  <c:v>353742</c:v>
                </c:pt>
                <c:pt idx="10">
                  <c:v>520113</c:v>
                </c:pt>
                <c:pt idx="11">
                  <c:v>545904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C0-4A4E-9DFE-4191527CE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689520"/>
        <c:axId val="696307216"/>
      </c:barChart>
      <c:dateAx>
        <c:axId val="78668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307216"/>
        <c:crosses val="autoZero"/>
        <c:auto val="1"/>
        <c:lblOffset val="100"/>
        <c:baseTimeUnit val="months"/>
      </c:dateAx>
      <c:valAx>
        <c:axId val="69630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KES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689520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100"/>
                    <a:t>x1000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Dashboard!$C$19</c:f>
              <c:strCache>
                <c:ptCount val="1"/>
                <c:pt idx="0">
                  <c:v>Fuel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8E-784D-85FE-7CFE7C2A37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Dashboard!$B$20:$B$31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Dashboard!$C$20:$C$31</c:f>
              <c:numCache>
                <c:formatCode>#,##0.00000</c:formatCode>
                <c:ptCount val="12"/>
                <c:pt idx="0">
                  <c:v>2.2758106091439426E-2</c:v>
                </c:pt>
                <c:pt idx="1">
                  <c:v>6.8513688780355436E-2</c:v>
                </c:pt>
                <c:pt idx="2">
                  <c:v>2.127255460588794E-2</c:v>
                </c:pt>
                <c:pt idx="3">
                  <c:v>7.1960557157399491E-2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8E-784D-85FE-7CFE7C2A37AA}"/>
            </c:ext>
          </c:extLst>
        </c:ser>
        <c:ser>
          <c:idx val="1"/>
          <c:order val="1"/>
          <c:tx>
            <c:strRef>
              <c:f>Dashboard!$D$19</c:f>
              <c:strCache>
                <c:ptCount val="1"/>
                <c:pt idx="0">
                  <c:v>Cost per KM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8E-784D-85FE-7CFE7C2A37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Dashboard!$B$20:$B$31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Dashboard!$D$20:$D$31</c:f>
              <c:numCache>
                <c:formatCode>#,##0</c:formatCode>
                <c:ptCount val="12"/>
                <c:pt idx="0">
                  <c:v>454.97044192920481</c:v>
                </c:pt>
                <c:pt idx="1">
                  <c:v>399.33566433566432</c:v>
                </c:pt>
                <c:pt idx="2">
                  <c:v>559.96286302162594</c:v>
                </c:pt>
                <c:pt idx="3">
                  <c:v>438.67132867132864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8E-784D-85FE-7CFE7C2A37AA}"/>
            </c:ext>
          </c:extLst>
        </c:ser>
        <c:ser>
          <c:idx val="2"/>
          <c:order val="2"/>
          <c:tx>
            <c:strRef>
              <c:f>Dashboard!$E$19</c:f>
              <c:strCache>
                <c:ptCount val="1"/>
                <c:pt idx="0">
                  <c:v>Profit Margin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Dashboard!$B$20:$B$31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Dashboard!$E$20:$E$31</c:f>
              <c:numCache>
                <c:formatCode>#,##0.00</c:formatCode>
                <c:ptCount val="12"/>
                <c:pt idx="0">
                  <c:v>1.7219926809113448</c:v>
                </c:pt>
                <c:pt idx="1">
                  <c:v>4.0147484874292863</c:v>
                </c:pt>
                <c:pt idx="2">
                  <c:v>1.1117136533052279</c:v>
                </c:pt>
                <c:pt idx="3">
                  <c:v>3.0716479988607759</c:v>
                </c:pt>
                <c:pt idx="4">
                  <c:v>2.8679847589904557</c:v>
                </c:pt>
                <c:pt idx="5">
                  <c:v>1.3704438118937179</c:v>
                </c:pt>
                <c:pt idx="6">
                  <c:v>3.3816757031348357</c:v>
                </c:pt>
                <c:pt idx="7">
                  <c:v>2.1422245108727855</c:v>
                </c:pt>
                <c:pt idx="8">
                  <c:v>1.1699043548906594</c:v>
                </c:pt>
                <c:pt idx="9">
                  <c:v>1.0542685752088619</c:v>
                </c:pt>
                <c:pt idx="10">
                  <c:v>1.6720616481418462</c:v>
                </c:pt>
                <c:pt idx="11">
                  <c:v>1.4415481791698952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8E-784D-85FE-7CFE7C2A3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714319"/>
        <c:axId val="951793343"/>
      </c:scatterChart>
      <c:valAx>
        <c:axId val="95171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93343"/>
        <c:crosses val="autoZero"/>
        <c:crossBetween val="midCat"/>
      </c:valAx>
      <c:valAx>
        <c:axId val="95179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1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Dashboard!$C$19</c:f>
              <c:strCache>
                <c:ptCount val="1"/>
                <c:pt idx="0">
                  <c:v>Fuel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Dashboard!$B$20:$B$31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Dashboard!$C$20:$C$31</c:f>
              <c:numCache>
                <c:formatCode>#,##0.00000</c:formatCode>
                <c:ptCount val="12"/>
                <c:pt idx="0">
                  <c:v>2.2758106091439426E-2</c:v>
                </c:pt>
                <c:pt idx="1">
                  <c:v>6.8513688780355436E-2</c:v>
                </c:pt>
                <c:pt idx="2">
                  <c:v>2.127255460588794E-2</c:v>
                </c:pt>
                <c:pt idx="3">
                  <c:v>7.1960557157399491E-2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67-D74E-B544-9EC0A143C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510096"/>
        <c:axId val="359503776"/>
      </c:scatterChart>
      <c:valAx>
        <c:axId val="35951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03776"/>
        <c:crosses val="autoZero"/>
        <c:crossBetween val="midCat"/>
      </c:valAx>
      <c:valAx>
        <c:axId val="35950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1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284094</xdr:colOff>
      <xdr:row>1</xdr:row>
      <xdr:rowOff>139700</xdr:rowOff>
    </xdr:from>
    <xdr:to>
      <xdr:col>16</xdr:col>
      <xdr:colOff>584200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7244A-B181-F4A2-0059-7C1EEA853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592892</xdr:colOff>
      <xdr:row>19</xdr:row>
      <xdr:rowOff>156633</xdr:rowOff>
    </xdr:from>
    <xdr:to>
      <xdr:col>16</xdr:col>
      <xdr:colOff>584200</xdr:colOff>
      <xdr:row>40</xdr:row>
      <xdr:rowOff>50801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BA483B-5D93-5DF7-1513-EA613F4AA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374650</xdr:colOff>
      <xdr:row>31</xdr:row>
      <xdr:rowOff>107950</xdr:rowOff>
    </xdr:from>
    <xdr:to>
      <xdr:col>6</xdr:col>
      <xdr:colOff>1098550</xdr:colOff>
      <xdr:row>45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E8558-CC9A-BF33-2FE1-F0AED7015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42ECD0B3-C235-44DE-ADCD-81665F700895}" userId="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8194DF-8787-4142-B910-5E6FB83FD585}" name="Dashboard7" displayName="Dashboard7" ref="B4:H16" totalsRowShown="0" headerRowDxfId="105">
  <autoFilter ref="B4:H16" xr:uid="{A48194DF-8787-4142-B910-5E6FB83FD585}"/>
  <tableColumns count="7">
    <tableColumn id="1" xr3:uid="{2003961B-312B-6840-967D-977FEB0AC3C9}" name="Month" dataDxfId="104"/>
    <tableColumn id="3" xr3:uid="{EC2A6DEA-23C4-AE4C-9E54-FF0C884F3613}" name="Total Income" dataDxfId="103">
      <calculatedColumnFormula>SUMIFS(Lorry_Trips2025[Gross Income], Lorry_Trips2025[Date], "&gt;="&amp;Dashboard7[[#This Row],[Month]], Lorry_Trips2025[Date], "&lt;"&amp;EDATE(Dashboard7[[#This Row],[Month]],1))</calculatedColumnFormula>
    </tableColumn>
    <tableColumn id="6" xr3:uid="{42A98AC1-5D6F-064C-88CA-8356613CB8ED}" name="Variable Expenses" dataDxfId="102">
      <calculatedColumnFormula>SUMIFS(Lorry_Trips2025[Total Expense], Lorry_Trips2025[Date], "&gt;="&amp;Dashboard7[[#This Row],[Month]], Lorry_Trips2025[Date], "&lt;"&amp;EDATE(Dashboard7[[#This Row],[Month]],1))</calculatedColumnFormula>
    </tableColumn>
    <tableColumn id="8" xr3:uid="{B22F2E11-2ACB-D14F-9333-8115998BC158}" name="Fixed Expense" dataDxfId="101">
      <calculatedColumnFormula>SUM(Fixed_Expenses[Mar])</calculatedColumnFormula>
    </tableColumn>
    <tableColumn id="4" xr3:uid="{9BC089A2-E2E6-6449-A112-5C2787A37705}" name="Maintenance" dataDxfId="100">
      <calculatedColumnFormula>SUMIFS(MaintLog[Cost], MaintLog[Date Undertaken], "&gt;="&amp;Dashboard7[[#This Row],[Month]], MaintLog[Date Undertaken], "&lt;"&amp;EDATE(Dashboard7[[#This Row],[Month]],1))</calculatedColumnFormula>
    </tableColumn>
    <tableColumn id="9" xr3:uid="{9B330DAA-8262-7745-AC3E-65BE22B2FE13}" name="Total Expense" dataDxfId="99">
      <calculatedColumnFormula>SUM(Dashboard7[[#This Row],[Variable Expenses]:[Maintenance]])</calculatedColumnFormula>
    </tableColumn>
    <tableColumn id="7" xr3:uid="{3DF1D314-030C-0544-B9DA-ABFDA980BA2D}" name="Total Profit" dataDxfId="98">
      <calculatedColumnFormula>Dashboard7[[#This Row],[Total Income]]-Dashboard7[[#This Row],[Total Expense]]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9A9BD74-C7F5-1540-9E63-BFE53E4CD812}" name="Dashboard713" displayName="Dashboard713" ref="B19:E31" totalsRowShown="0" headerRowDxfId="97">
  <autoFilter ref="B19:E31" xr:uid="{69A9BD74-C7F5-1540-9E63-BFE53E4CD812}"/>
  <tableColumns count="4">
    <tableColumn id="1" xr3:uid="{81D39B96-5629-2F44-A137-7E7114E0B828}" name="Month" dataDxfId="96"/>
    <tableColumn id="3" xr3:uid="{C7776B14-E348-C945-BC42-04895FD06B8E}" name="Fuel Efficiency" dataDxfId="95">
      <calculatedColumnFormula>SUMIFS(Lorry_Trips2025[Fuel Efficiency], Lorry_Trips2025[Date], "&gt;="&amp;Dashboard713[[#This Row],[Month]], Lorry_Trips2025[Date], "&lt;"&amp;EDATE(Dashboard713[[#This Row],[Month]],1))</calculatedColumnFormula>
    </tableColumn>
    <tableColumn id="6" xr3:uid="{9DA14A96-F30B-5745-AADB-C656666AF82A}" name="Cost per KM" dataDxfId="94">
      <calculatedColumnFormula>SUMIFS(Lorry_Trips2025[Cost per KMs], Lorry_Trips2025[Date], "&gt;="&amp;Dashboard713[[#This Row],[Month]], Lorry_Trips2025[Date], "&lt;"&amp;EDATE(Dashboard713[[#This Row],[Month]],1))</calculatedColumnFormula>
    </tableColumn>
    <tableColumn id="8" xr3:uid="{EB281DFD-CDA1-1849-A572-666DC8BBB021}" name="Profit Margin" dataDxfId="93">
      <calculatedColumnFormula>SUMIFS(Lorry_Trips2025[Profit Margin], Lorry_Trips2025[Date], "&gt;="&amp;Dashboard713[[#This Row],[Month]], Lorry_Trips2025[Date], "&lt;"&amp;EDATE(Dashboard713[[#This Row],[Month]],1))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98962-8E6B-5F4E-8EAA-39A0C422D727}" name="Lorry_Trips2025" displayName="Lorry_Trips2025" ref="B2:AC58" totalsRowShown="0" headerRowDxfId="92" headerRowBorderDxfId="90" tableBorderDxfId="91" totalsRowBorderDxfId="89">
  <autoFilter ref="B2:AC58" xr:uid="{7DD98962-8E6B-5F4E-8EAA-39A0C422D727}"/>
  <tableColumns count="28">
    <tableColumn id="20" xr3:uid="{956B3E69-9016-AC41-A906-A67B6148AFAF}" name="Vehicle" dataDxfId="88"/>
    <tableColumn id="1" xr3:uid="{2230460A-B9E2-494B-BB18-CFDC8F0C477E}" name="Date" dataDxfId="87"/>
    <tableColumn id="2" xr3:uid="{998A875E-BECC-5B47-9F5C-C877921235BB}" name="Origin" dataDxfId="86"/>
    <tableColumn id="3" xr3:uid="{1FC6107C-26DA-8546-AA55-00FC3BBA095C}" name="Destination" dataDxfId="85"/>
    <tableColumn id="4" xr3:uid="{34EFBF15-E3F7-264F-AF60-091941C3BB02}" name="Start ODO" dataDxfId="84"/>
    <tableColumn id="5" xr3:uid="{198C0056-C8B5-B64C-9710-39F5B66FB016}" name="End ODO" dataDxfId="83"/>
    <tableColumn id="12" xr3:uid="{496A452C-CC58-5742-9721-3432C80B0CBF}" name="Distance covered" dataDxfId="82"/>
    <tableColumn id="16" xr3:uid="{FE56D9E0-33E1-437F-B2AA-DD14720D2368}" name="Standard Distance" dataDxfId="81"/>
    <tableColumn id="25" xr3:uid="{11680823-A8CC-428C-BC28-C2FFDBFC997A}" name="Mileage  (km)" dataDxfId="80"/>
    <tableColumn id="26" xr3:uid="{7F823CF8-644B-4EB0-964C-952CEB6E0B78}" name="Fuel(L)" dataDxfId="79"/>
    <tableColumn id="17" xr3:uid="{3D331F16-1302-364D-948D-0938A953B4F8}" name="Fuel Price (Per Litre)" dataDxfId="78"/>
    <tableColumn id="27" xr3:uid="{0A7B4AD8-FB3F-441D-AE97-31A284E7AFE4}" name="Gross Income" dataDxfId="77"/>
    <tableColumn id="28" xr3:uid="{6E8BBDFB-6980-4A36-964C-F2E2697EED37}" name="Deposit Received" dataDxfId="76">
      <calculatedColumnFormula>0.7*Lorry_Trips2025[[#This Row],[Gross Income]]</calculatedColumnFormula>
    </tableColumn>
    <tableColumn id="6" xr3:uid="{A0F4F165-F9F2-D34B-A8F3-212B560815AB}" name="Fuel Cost" dataDxfId="75"/>
    <tableColumn id="7" xr3:uid="{C65BE9FD-FBAA-5C4B-A72C-96D40DDDEF0F}" name="Driver Millage" dataDxfId="74"/>
    <tableColumn id="8" xr3:uid="{3FA0A7A7-C3B7-CD4A-BC83-B767837BE81F}" name="Turn-Boy" dataDxfId="73"/>
    <tableColumn id="29" xr3:uid="{98873B7A-F9C3-4859-9432-9EC756E52E80}" name="Road Users fee" dataDxfId="72"/>
    <tableColumn id="9" xr3:uid="{DFAA8F5A-5152-9146-AC1E-A20930D2E3AF}" name="Other Expenses" dataDxfId="71"/>
    <tableColumn id="10" xr3:uid="{43B8DBBB-69A3-B349-AEC2-2D46087421D5}" name="Total Expense" dataDxfId="70">
      <calculatedColumnFormula>SUM(Lorry_Trips2025[[#This Row],[Fuel Cost]:[Other Expenses]])</calculatedColumnFormula>
    </tableColumn>
    <tableColumn id="19" xr3:uid="{6C4DF85E-5FDE-604E-B07B-2CAFC274340E}" name="Net Income" dataDxfId="69">
      <calculatedColumnFormula>Lorry_Trips2025[[#This Row],[Gross Income]]-Lorry_Trips2025[[#This Row],[Total Expense]]</calculatedColumnFormula>
    </tableColumn>
    <tableColumn id="15" xr3:uid="{001A8B86-480C-9A4F-BB86-D726ED08FC24}" name="Money Deposited at Bank" dataDxfId="68"/>
    <tableColumn id="14" xr3:uid="{100DFED9-E017-3446-B09B-E74918B06777}" name="Date Deposited" dataDxfId="67"/>
    <tableColumn id="18" xr3:uid="{214EA4C3-F8EF-0245-BCC0-DAC3510285AA}" name="Difference" dataDxfId="66"/>
    <tableColumn id="13" xr3:uid="{6F8966EE-4530-284C-A6FA-9850110E281A}" name="Gross Income2" dataDxfId="65">
      <calculatedColumnFormula>SUM(Lorry_Trips2025[[#This Row],[Total Expense]],#REF!)</calculatedColumnFormula>
    </tableColumn>
    <tableColumn id="21" xr3:uid="{C36C6A5F-59AE-574F-B790-01A190BADF4C}" name="Progress Tracking" dataDxfId="64"/>
    <tableColumn id="22" xr3:uid="{FBBF0A54-684E-E24B-BD46-8DA8EDCB6D1E}" name="Cost per KMs" dataDxfId="63">
      <calculatedColumnFormula>IFERROR(Lorry_Trips2025[[#This Row],[Total Expense]]/Lorry_Trips2025[[#This Row],[Standard Distance]],0)</calculatedColumnFormula>
    </tableColumn>
    <tableColumn id="23" xr3:uid="{7834A71B-FF7B-224B-B6AE-F6EEC5300698}" name="Profit Margin" dataDxfId="62">
      <calculatedColumnFormula>IFERROR(Lorry_Trips2025[[#This Row],[Net Income]]/Lorry_Trips2025[[#This Row],[Total Expense]],0)</calculatedColumnFormula>
    </tableColumn>
    <tableColumn id="24" xr3:uid="{C932C10E-B2D4-044B-8C70-F69C26A5CD2E}" name="Fuel Efficiency" dataDxfId="61">
      <calculatedColumnFormula>IFERROR(Lorry_Trips2025[[#This Row],[Standard Distance]]/Lorry_Trips2025[[#This Row],[Fuel Cost]],0)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E78D19-5831-694B-887E-5717F3E3A69D}" name="Table4" displayName="Table4" ref="B2:J4" totalsRowShown="0">
  <autoFilter ref="B2:J4" xr:uid="{D8E78D19-5831-694B-887E-5717F3E3A69D}"/>
  <tableColumns count="9">
    <tableColumn id="1" xr3:uid="{2B44A63A-98EE-6045-96B9-71507B553DD8}" name="Column1"/>
    <tableColumn id="2" xr3:uid="{380789CE-9DA2-444F-96B8-02E7DCCA67F1}" name="Car Reg"/>
    <tableColumn id="3" xr3:uid="{9BA0BA91-C475-4B43-90BC-B51722133EEA}" name="Date" dataDxfId="60"/>
    <tableColumn id="5" xr3:uid="{BFF4CF2F-4597-074F-98FE-B0F66B8AC5EB}" name="Fuel Cost" dataDxfId="59"/>
    <tableColumn id="6" xr3:uid="{C29EADA0-2B65-BC4B-867B-60C637F4CA29}" name="Millage" dataDxfId="58"/>
    <tableColumn id="7" xr3:uid="{D5EAE94C-2E6A-2F49-8E61-7AA808720C80}" name="Comm+loading" dataDxfId="57"/>
    <tableColumn id="8" xr3:uid="{985BD2E7-B88E-7C43-984E-97A52D30D5B1}" name="Total Expediture" dataDxfId="56">
      <calculatedColumnFormula>SUM(E3:G3)</calculatedColumnFormula>
    </tableColumn>
    <tableColumn id="9" xr3:uid="{8E36EE06-D82E-334B-81BA-CEE7F7D8562F}" name="Deposit" dataDxfId="55">
      <calculatedColumnFormula>#REF!-H3</calculatedColumnFormula>
    </tableColumn>
    <tableColumn id="10" xr3:uid="{99F53838-5CE6-0147-80C5-43556215E1B4}" name="Total Income" dataDxfId="54">
      <calculatedColumnFormula>SUM(Table4[[#This Row],[Total Expediture]:[Deposit]])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B7D95A-C25D-6045-817E-4CB6B8605F99}" name="Fixed_Expenses" displayName="Fixed_Expenses" ref="A2:O13" totalsRowShown="0" headerRowDxfId="53" headerRowBorderDxfId="51" tableBorderDxfId="52" totalsRowBorderDxfId="50">
  <autoFilter ref="A2:O13" xr:uid="{AAB7D95A-C25D-6045-817E-4CB6B8605F99}"/>
  <tableColumns count="15">
    <tableColumn id="1" xr3:uid="{238F2756-CC34-E045-93F6-DBC79423BB3C}" name="Expense Item" dataDxfId="49"/>
    <tableColumn id="2" xr3:uid="{1EFAB004-F310-E643-85DC-30F661F8C0F3}" name="Cost" dataDxfId="48"/>
    <tableColumn id="15" xr3:uid="{4E47BFC9-3529-814D-9A24-634E987C9F33}" name="Frequency" dataDxfId="47"/>
    <tableColumn id="3" xr3:uid="{395AED95-189E-C34D-AF2C-65652B6028FD}" name="Jan" dataDxfId="46">
      <calculatedColumnFormula>IF(Fixed_Expenses[[#This Row],[Frequency]]="Monthly", Fixed_Expenses[[#This Row],[Cost]], IF(Fixed_Expenses[[#This Row],[Frequency]]="Yearly", Fixed_Expenses[[#This Row],[Cost]]/12, 0))</calculatedColumnFormula>
    </tableColumn>
    <tableColumn id="4" xr3:uid="{7E2A1AEF-2E19-6841-86BD-23E0BD4DFAE9}" name="Feb" dataDxfId="45">
      <calculatedColumnFormula>IF(Fixed_Expenses[[#This Row],[Frequency]]="Monthly", Fixed_Expenses[[#This Row],[Cost]], IF(Fixed_Expenses[[#This Row],[Frequency]]="Yearly", Fixed_Expenses[[#This Row],[Cost]]/12, 0))</calculatedColumnFormula>
    </tableColumn>
    <tableColumn id="5" xr3:uid="{D4BD6D66-9BD9-2F4E-9557-95A98398BE93}" name="Mar" dataDxfId="44">
      <calculatedColumnFormula>IF(Fixed_Expenses[[#This Row],[Frequency]]="Monthly", Fixed_Expenses[[#This Row],[Cost]], IF(Fixed_Expenses[[#This Row],[Frequency]]="Yearly", Fixed_Expenses[[#This Row],[Cost]]/12, 0))</calculatedColumnFormula>
    </tableColumn>
    <tableColumn id="6" xr3:uid="{2EFCB0C6-9B0D-6F46-8F5E-F32A517C11C2}" name="Apr" dataDxfId="43">
      <calculatedColumnFormula>IF(Fixed_Expenses[[#This Row],[Frequency]]="Monthly", Fixed_Expenses[[#This Row],[Cost]], IF(Fixed_Expenses[[#This Row],[Frequency]]="Yearly", Fixed_Expenses[[#This Row],[Cost]]/12, 0))</calculatedColumnFormula>
    </tableColumn>
    <tableColumn id="7" xr3:uid="{2BE59BD5-1E7C-0248-AE78-7D22E8FB3204}" name="May" dataDxfId="42"/>
    <tableColumn id="8" xr3:uid="{F377C161-4A68-0949-9D24-1DF718317B25}" name="Jun" dataDxfId="41"/>
    <tableColumn id="9" xr3:uid="{32DDBB8A-2080-EA45-8B15-03B800545B21}" name="Jul" dataDxfId="40"/>
    <tableColumn id="10" xr3:uid="{2C650D5E-967C-2149-99F8-9F65F6A629AB}" name="Aug" dataDxfId="39"/>
    <tableColumn id="11" xr3:uid="{7E89FC76-EA3F-124B-B38E-1E0A0E7FFECA}" name="Sep" dataDxfId="38"/>
    <tableColumn id="12" xr3:uid="{20A6B899-3B40-734B-A6B6-D2968688176D}" name="Oct" dataDxfId="37"/>
    <tableColumn id="13" xr3:uid="{9A42C1DE-0984-DB49-A8C7-B9A95DE930D9}" name="Nov" dataDxfId="36"/>
    <tableColumn id="14" xr3:uid="{2EB42761-BF52-B741-8345-0398D5E600AE}" name="Dec" dataDxfId="35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57275A-3E20-4749-9B16-E95611904332}" name="MaintLog" displayName="MaintLog" ref="B3:L20" totalsRowShown="0" headerRowDxfId="34" dataDxfId="33">
  <autoFilter ref="B3:L20" xr:uid="{B057275A-3E20-4749-9B16-E95611904332}"/>
  <tableColumns count="11">
    <tableColumn id="6" xr3:uid="{9C83B8B8-71B2-5949-A952-F197493E582D}" name="Vehicle Reg" dataDxfId="32"/>
    <tableColumn id="10" xr3:uid="{493E93D8-D446-9A46-A2D2-786DB2B5EA19}" name="Vehicle Type" dataDxfId="31">
      <calculatedColumnFormula>_xlfn.XLOOKUP(MaintLog[[#This Row],[Vehicle Reg]],Table10[Vehicle Reg],Table10[Vehicle Type],"Not Found",0)</calculatedColumnFormula>
    </tableColumn>
    <tableColumn id="1" xr3:uid="{975E8C06-D984-534A-A1F9-3B760CF5309B}" name="Task" dataDxfId="30"/>
    <tableColumn id="2" xr3:uid="{376F62DC-85D3-AF4D-958E-85D070CE5ADB}" name="Frequency" dataDxfId="29">
      <calculatedColumnFormula>_xlfn.XLOOKUP(MaintLog[[#This Row],[Task]],Table8[Maintenance],Table8[Frequency],0,0)</calculatedColumnFormula>
    </tableColumn>
    <tableColumn id="9" xr3:uid="{7CFA9E97-CE40-484F-908C-B19B8E550C21}" name="Qty" dataDxfId="28"/>
    <tableColumn id="3" xr3:uid="{868F1D29-1438-FE4A-955C-401846F8E6EA}" name="Cost" dataDxfId="27"/>
    <tableColumn id="4" xr3:uid="{03038125-6010-EA4C-AFDD-12AF8A0BAB2D}" name="Date Undertaken" dataDxfId="26"/>
    <tableColumn id="5" xr3:uid="{A13FA2CB-E042-2A4C-AB26-E6874D320401}" name="Next Due" dataDxfId="25"/>
    <tableColumn id="7" xr3:uid="{38AD8731-8FCF-3441-8F6C-DD0FCE0C1232}" name="Odometer Reading" dataDxfId="24"/>
    <tableColumn id="8" xr3:uid="{A7EC20EB-EDFB-9F4F-9B66-06E1BA50645E}" name="Notes" dataDxfId="23"/>
    <tableColumn id="11" xr3:uid="{A3152191-B0F4-3545-9706-2AED039F44EA}" name="Additional Notes" dataDxfId="22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C6CA850-6F72-CF46-B62D-0CA5E6B61C5C}" name="Table15" displayName="Table15" ref="H2:I7" totalsRowShown="0">
  <autoFilter ref="H2:I7" xr:uid="{5C6CA850-6F72-CF46-B62D-0CA5E6B61C5C}"/>
  <tableColumns count="2">
    <tableColumn id="1" xr3:uid="{A48F69AF-4577-3C41-8541-A43972E3F899}" name="Expenses"/>
    <tableColumn id="2" xr3:uid="{4541ADE4-6790-2C47-8E7F-1E987D672E8B}" name="Cost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D7B230A-BCBF-4946-8CE8-E15E6B70990B}" name="Table16" displayName="Table16" ref="B2:E3" totalsRowShown="0">
  <autoFilter ref="B2:E3" xr:uid="{8D7B230A-BCBF-4946-8CE8-E15E6B70990B}"/>
  <tableColumns count="4">
    <tableColumn id="1" xr3:uid="{6037324B-529B-1D41-92DB-ED8831A2E522}" name="Trip Calculations"/>
    <tableColumn id="2" xr3:uid="{96A67607-6285-724C-9E6E-A390E90EE918}" name="Dolars"/>
    <tableColumn id="3" xr3:uid="{374F4429-9D87-634E-BE64-12D832847B2A}" name="Dolar Rate"/>
    <tableColumn id="4" xr3:uid="{6F504E63-5790-5B4A-9A75-C5AF5B9DB7AB}" name="Kes">
      <calculatedColumnFormula>C3*D3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FDA1C8-FD3B-C746-BE30-4D08F807DF08}" name="Table2" displayName="Table2" ref="K2:L3" totalsRowShown="0">
  <autoFilter ref="K2:L3" xr:uid="{91FDA1C8-FD3B-C746-BE30-4D08F807DF08}"/>
  <tableColumns count="2">
    <tableColumn id="1" xr3:uid="{13C55557-BDD0-9541-8B37-643394E4B3B1}" name="Broker Name"/>
    <tableColumn id="2" xr3:uid="{2CB4D108-45E1-F942-813B-1D489A695506}" name="Commis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B0BB39-A64E-394D-8250-5F7C9D4EC682}" name="Table9" displayName="Table9" ref="G2:H3" totalsRowShown="0">
  <autoFilter ref="G2:H3" xr:uid="{C6B0BB39-A64E-394D-8250-5F7C9D4EC682}"/>
  <tableColumns count="2">
    <tableColumn id="1" xr3:uid="{7A59F715-30BD-3340-817E-6890886B8BD9}" name="Delay Rates"/>
    <tableColumn id="2" xr3:uid="{E9D8A702-8C2F-4140-A96B-CB0C767EA23C}" name="R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95D66B-65C3-7542-8617-6E3E6F3BC04F}" name="Table13" displayName="Table13" ref="A2:B3" totalsRowShown="0">
  <autoFilter ref="A2:B3" xr:uid="{5895D66B-65C3-7542-8617-6E3E6F3BC04F}"/>
  <tableColumns count="2">
    <tableColumn id="1" xr3:uid="{3C236804-1AA3-E04A-9F2C-4A6365D26B3A}" name="Driver Rates"/>
    <tableColumn id="2" xr3:uid="{9B6D6F08-F9A3-A54F-B22A-0E0C009B259E}" name="Pricing (KES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2AAF76-CC67-C94A-9259-0F99B112AD71}" name="Table14" displayName="Table14" ref="A5:C9" totalsRowShown="0" headerRowDxfId="20">
  <autoFilter ref="A5:C9" xr:uid="{D92AAF76-CC67-C94A-9259-0F99B112AD71}"/>
  <tableColumns count="3">
    <tableColumn id="1" xr3:uid="{7D93C941-84E5-2D47-8989-52F549068F15}" name="Trip"/>
    <tableColumn id="2" xr3:uid="{CADEACBC-4785-3341-BACB-3BD85D48F06A}" name="Rates"/>
    <tableColumn id="3" xr3:uid="{B9750542-4508-7540-BAD1-4C1E98EAF5FD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24A2A09-A15B-7A44-9279-85E7D971CD33}" name="Table17" displayName="Table17" ref="I28:Q53" totalsRowShown="0" dataDxfId="19">
  <autoFilter ref="I28:Q53" xr:uid="{C24A2A09-A15B-7A44-9279-85E7D971CD33}"/>
  <tableColumns count="9">
    <tableColumn id="1" xr3:uid="{E5C5B649-A2EF-C94B-8CFB-154088315F28}" name="Companies" dataDxfId="18"/>
    <tableColumn id="2" xr3:uid="{98978E5C-C451-2748-9498-F629D4C6297F}" name="Contanainer (ft)" dataDxfId="17"/>
    <tableColumn id="3" xr3:uid="{6AC9A5B3-6268-C14A-ADA2-F058FAC9E974}" name="Cost to buy" dataDxfId="16"/>
    <tableColumn id="4" xr3:uid="{83485306-BF91-0C43-9E19-FDCF3ADB8863}" name="Cost to Rent" dataDxfId="15"/>
    <tableColumn id="5" xr3:uid="{98D369DC-4515-E04A-A862-8D85159DD16A}" name="Rate" dataDxfId="14"/>
    <tableColumn id="6" xr3:uid="{41441258-0A5F-654C-88DB-191A2E1C02DB}" name="Contact information" dataDxfId="13"/>
    <tableColumn id="7" xr3:uid="{2DC5129C-C1FB-7346-BC70-4470DE18D834}" name="Contact Number" dataDxfId="12"/>
    <tableColumn id="8" xr3:uid="{EC51BE80-3163-3143-8FD4-B757A2839054}" name="Notes" dataDxfId="11"/>
    <tableColumn id="9" xr3:uid="{39BD91A5-26FF-BA4F-AF27-DD40BA3FDEEC}" name="Column4" dataDxfId="1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6AF2E9-1268-C647-A178-F5E66EA0EB96}" name="Table5" displayName="Table5" ref="C2:C6" totalsRowShown="0" dataDxfId="9">
  <autoFilter ref="C2:C6" xr:uid="{606AF2E9-1268-C647-A178-F5E66EA0EB96}"/>
  <tableColumns count="1">
    <tableColumn id="1" xr3:uid="{BCEBB112-9005-1A49-BDB7-BFE557CD7F3F}" name="Progress Tracking" dataDxfId="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7D196-D7AF-1247-83CE-19C6EC0DB895}" name="Table8" displayName="Table8" ref="E2:F34" totalsRowShown="0" headerRowDxfId="7" dataDxfId="6" headerRowBorderDxfId="4" tableBorderDxfId="5" totalsRowBorderDxfId="3">
  <autoFilter ref="E2:F34" xr:uid="{C377D196-D7AF-1247-83CE-19C6EC0DB895}"/>
  <tableColumns count="2">
    <tableColumn id="1" xr3:uid="{7C08B14C-C907-C44C-8335-30F6AF134F31}" name="Maintenance" dataDxfId="2"/>
    <tableColumn id="2" xr3:uid="{5DAF8DEA-D7C0-934E-95C9-4B82A6134778}" name="Frequency" dataDxfId="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65BA00-1EF5-1444-95C1-451DD8F303D2}" name="Table10" displayName="Table10" ref="I2:J4" totalsRowShown="0">
  <autoFilter ref="I2:J4" xr:uid="{2965BA00-1EF5-1444-95C1-451DD8F303D2}"/>
  <tableColumns count="2">
    <tableColumn id="1" xr3:uid="{E83A970C-47FC-F44A-9E9A-E089FE2CF58B}" name="Vehicle Reg"/>
    <tableColumn id="2" xr3:uid="{A8427718-52DF-D845-AE21-D5FB7C88AB00}" name="Vehicle Type" dataDxfId="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A341E2-F7C7-6340-916A-370628E7E353}" name="Table11" displayName="Table11" ref="B3:D4" totalsRowShown="0">
  <autoFilter ref="B3:D4" xr:uid="{20A341E2-F7C7-6340-916A-370628E7E353}"/>
  <tableColumns count="3">
    <tableColumn id="1" xr3:uid="{C62BEC4B-4061-2141-AFEE-F876FB406BA6}" name="Vehicle Reg"/>
    <tableColumn id="2" xr3:uid="{3DC13E5B-3772-3542-83CB-C600C19C287B}" name="Vehicle Type">
      <calculatedColumnFormula>_xlfn.XLOOKUP(Table11[[#This Row],[Vehicle Reg]],Table10[Vehicle Reg],Table10[Vehicle Type],"Not Found",0)</calculatedColumnFormula>
    </tableColumn>
    <tableColumn id="3" xr3:uid="{5A7B33FF-540A-6749-A775-B23F2573542B}" name="Distance Covered">
      <calculatedColumnFormula>SUMIF(Lorry_Trips2025[Vehicle], Table11[[#This Row],[Vehicle Reg]],Lorry_Trips2025[Standard Distance])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6" dT="2025-05-22T05:55:24.71" personId="{42ECD0B3-C235-44DE-ADCD-81665F700895}" id="{5EBB85F2-8683-470E-A656-791F7C33BFFC}">
    <text>Annual Port Pass</text>
  </threadedComment>
  <threadedComment ref="S11" dT="2025-05-22T06:02:31.81" personId="{42ECD0B3-C235-44DE-ADCD-81665F700895}" id="{B07261EB-46BD-4F4F-9629-E573E5B9B1F8}">
    <text>bought 2 new tyres @ 35k each, mechanic 5k and transport and fixing 5k - Nb: truck had broken down enroute</text>
  </threadedComment>
  <threadedComment ref="S14" dT="2025-05-22T05:59:21.54" personId="{42ECD0B3-C235-44DE-ADCD-81665F700895}" id="{631E03C3-378D-40D8-80C1-A9BEA0FB837B}">
    <text>2 new types @35k each
2 rims @12k each</text>
  </threadedComment>
  <threadedComment ref="S18" dT="2025-05-23T16:57:05.59" personId="{42ECD0B3-C235-44DE-ADCD-81665F700895}" id="{E9A13C76-5530-42C8-86D0-66A11DF8C9B8}">
    <text>20k additon for service</text>
  </threadedComment>
  <threadedComment ref="S24" dT="2025-06-30T08:55:39.84" personId="{42ECD0B3-C235-44DE-ADCD-81665F700895}" id="{52788110-BF25-4B31-9B6A-BEE95F2C0BD6}">
    <text>Airbag replacement</text>
  </threadedComment>
  <threadedComment ref="S24" dT="2025-07-14T09:44:53.58" personId="{42ECD0B3-C235-44DE-ADCD-81665F700895}" id="{923B0BED-0485-4141-B693-B88F0F6A8F65}" parentId="{52788110-BF25-4B31-9B6A-BEE95F2C0BD6}">
    <text>+ labour</text>
  </threadedComment>
  <threadedComment ref="S25" dT="2025-06-30T08:56:32.19" personId="{42ECD0B3-C235-44DE-ADCD-81665F700895}" id="{AE8F7EC8-D12D-448F-AF85-E6AD0772B050}">
    <text>tire replacement</text>
  </threadedComment>
  <threadedComment ref="S25" dT="2025-07-14T09:44:36.33" personId="{42ECD0B3-C235-44DE-ADCD-81665F700895}" id="{B5F98182-6608-44FF-87C4-637E129E136D}" parentId="{AE8F7EC8-D12D-448F-AF85-E6AD0772B050}">
    <text xml:space="preserve">+ transport (37,500 + 1,000)
</text>
  </threadedComment>
  <threadedComment ref="D29" dT="2026-03-11T09:04:10.19" personId="{42ECD0B3-C235-44DE-ADCD-81665F700895}" id="{0147E350-C5FB-4623-B6CE-463CA93B4381}">
    <text>return</text>
  </threadedComment>
  <threadedComment ref="S30" dT="2025-08-01T06:20:56.85" personId="{42ECD0B3-C235-44DE-ADCD-81665F700895}" id="{BE6DEDE7-0FD6-44D0-BA52-129B56E4F84E}">
    <text>Front body repairs</text>
  </threadedComment>
  <threadedComment ref="D32" dT="2026-03-11T09:03:15.58" personId="{42ECD0B3-C235-44DE-ADCD-81665F700895}" id="{18D07CED-8C1E-40F8-9FBB-D03ADA8EFB3C}">
    <text>return</text>
  </threadedComment>
  <threadedComment ref="S35" dT="2026-03-11T08:51:43.66" personId="{42ECD0B3-C235-44DE-ADCD-81665F700895}" id="{FC986E03-621B-420D-A708-4672EB58EBA1}">
    <text>brakes, springs labou, transport etc</text>
  </threadedComment>
  <threadedComment ref="D38" dT="2026-03-11T08:44:50.17" personId="{42ECD0B3-C235-44DE-ADCD-81665F700895}" id="{33CC9C98-A06B-4C33-B076-1064DB132EAC}">
    <text>going to kampala empty and back with load</text>
  </threadedComment>
  <threadedComment ref="S39" dT="2026-03-11T08:43:07.73" personId="{42ECD0B3-C235-44DE-ADCD-81665F700895}" id="{58D18214-70C3-4BF4-AAFD-E72CC007846A}">
    <text>chloride exide battery</text>
  </threadedComment>
  <threadedComment ref="S40" dT="2026-03-11T08:40:19.57" personId="{42ECD0B3-C235-44DE-ADCD-81665F700895}" id="{91B4789C-3304-439D-9007-A61C68F85C0D}">
    <text>speed govenor renewal</text>
  </threadedComment>
  <threadedComment ref="D44" dT="2026-03-11T08:37:56.82" personId="{42ECD0B3-C235-44DE-ADCD-81665F700895}" id="{12A3A22C-6943-4010-9E86-A4FC44D8EB5E}">
    <text>reefer - empty to Kampala</text>
  </threadedComment>
  <threadedComment ref="S50" dT="2026-03-11T10:30:46.67" personId="{42ECD0B3-C235-44DE-ADCD-81665F700895}" id="{E40E993C-1F4C-498D-B4D0-7C3BFDD0CC8F}">
    <text>clutch kit</text>
  </threadedComment>
  <threadedComment ref="D52" dT="2026-03-11T08:28:59.11" personId="{42ECD0B3-C235-44DE-ADCD-81665F700895}" id="{F4141F97-9E04-4CE2-B222-305025987A25}">
    <text>going to Kampla empty, return with load</text>
  </threadedComment>
  <threadedComment ref="S53" dT="2026-03-11T08:37:30.96" personId="{42ECD0B3-C235-44DE-ADCD-81665F700895}" id="{9CAD1A5B-4BC7-4BE3-BBC8-A2B084E611A9}">
    <text>tire replacement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cwatene@majaninsure.com" TargetMode="External"/><Relationship Id="rId2" Type="http://schemas.openxmlformats.org/officeDocument/2006/relationships/hyperlink" Target="mailto:skendi@majaninsure.com" TargetMode="External"/><Relationship Id="rId1" Type="http://schemas.openxmlformats.org/officeDocument/2006/relationships/hyperlink" Target="mailto:Sales@mombasacomputers.com" TargetMode="External"/><Relationship Id="rId5" Type="http://schemas.openxmlformats.org/officeDocument/2006/relationships/table" Target="../tables/table13.xml"/><Relationship Id="rId4" Type="http://schemas.openxmlformats.org/officeDocument/2006/relationships/hyperlink" Target="https://senga.co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4BA4-BC40-E541-A0A0-8F4736810BE8}">
  <dimension ref="B4:H34"/>
  <sheetViews>
    <sheetView showGridLines="0" topLeftCell="G9" zoomScale="108" workbookViewId="0">
      <selection activeCell="G9" sqref="G9"/>
    </sheetView>
  </sheetViews>
  <sheetFormatPr defaultColWidth="11" defaultRowHeight="15.95"/>
  <cols>
    <col min="2" max="2" width="27.625" bestFit="1" customWidth="1"/>
    <col min="3" max="3" width="15.625" bestFit="1" customWidth="1"/>
    <col min="4" max="4" width="18.875" bestFit="1" customWidth="1"/>
    <col min="5" max="6" width="15.875" customWidth="1"/>
    <col min="7" max="7" width="20.875" bestFit="1" customWidth="1"/>
    <col min="8" max="8" width="12.625" bestFit="1" customWidth="1"/>
  </cols>
  <sheetData>
    <row r="4" spans="2:8">
      <c r="B4" s="22" t="s">
        <v>0</v>
      </c>
      <c r="C4" s="22" t="s">
        <v>1</v>
      </c>
      <c r="D4" s="22" t="s">
        <v>2</v>
      </c>
      <c r="E4" s="22" t="s">
        <v>3</v>
      </c>
      <c r="F4" s="22" t="s">
        <v>4</v>
      </c>
      <c r="G4" s="22" t="s">
        <v>5</v>
      </c>
      <c r="H4" s="22" t="s">
        <v>6</v>
      </c>
    </row>
    <row r="5" spans="2:8">
      <c r="B5" s="1">
        <v>45658</v>
      </c>
      <c r="C5" s="2">
        <f>SUMIFS(Lorry_Trips2025[Gross Income], Lorry_Trips2025[Date], "&gt;="&amp;Dashboard7[[#This Row],[Month]], Lorry_Trips2025[Date], "&lt;"&amp;EDATE(Dashboard7[[#This Row],[Month]],1))</f>
        <v>800000</v>
      </c>
      <c r="D5" s="2">
        <f>SUMIFS(Lorry_Trips2025[Total Expense], Lorry_Trips2025[Date], "&gt;="&amp;Dashboard7[[#This Row],[Month]], Lorry_Trips2025[Date], "&lt;"&amp;EDATE(Dashboard7[[#This Row],[Month]],1))</f>
        <v>508260</v>
      </c>
      <c r="E5" s="2">
        <f>SUM(Fixed_Expenses[Jan])</f>
        <v>120446.16666666666</v>
      </c>
      <c r="F5" s="2">
        <f>SUMIFS(MaintLog[Cost], MaintLog[Date Undertaken], "&gt;="&amp;Dashboard7[[#This Row],[Month]], MaintLog[Date Undertaken], "&lt;"&amp;EDATE(Dashboard7[[#This Row],[Month]],1))</f>
        <v>0</v>
      </c>
      <c r="G5" s="2">
        <f>SUM(Dashboard7[[#This Row],[Variable Expenses]:[Maintenance]])</f>
        <v>628706.16666666663</v>
      </c>
      <c r="H5" s="2">
        <f>Dashboard7[[#This Row],[Total Income]]-Dashboard7[[#This Row],[Total Expense]]</f>
        <v>171293.83333333337</v>
      </c>
    </row>
    <row r="6" spans="2:8">
      <c r="B6" s="1">
        <v>45689</v>
      </c>
      <c r="C6" s="2">
        <f>SUMIFS(Lorry_Trips2025[Gross Income], Lorry_Trips2025[Date], "&gt;="&amp;Dashboard7[[#This Row],[Month]], Lorry_Trips2025[Date], "&lt;"&amp;EDATE(Dashboard7[[#This Row],[Month]],1))</f>
        <v>725000</v>
      </c>
      <c r="D6" s="2">
        <f>SUMIFS(Lorry_Trips2025[Total Expense], Lorry_Trips2025[Date], "&gt;="&amp;Dashboard7[[#This Row],[Month]], Lorry_Trips2025[Date], "&lt;"&amp;EDATE(Dashboard7[[#This Row],[Month]],1))</f>
        <v>429340</v>
      </c>
      <c r="E6" s="2">
        <f>SUM(Fixed_Expenses[Feb])</f>
        <v>120446.16666666666</v>
      </c>
      <c r="F6" s="2">
        <f>SUMIFS(MaintLog[Cost], MaintLog[Date Undertaken], "&gt;="&amp;Dashboard7[[#This Row],[Month]], MaintLog[Date Undertaken], "&lt;"&amp;EDATE(Dashboard7[[#This Row],[Month]],1))</f>
        <v>0</v>
      </c>
      <c r="G6" s="2">
        <f>SUM(Dashboard7[[#This Row],[Variable Expenses]:[Maintenance]])</f>
        <v>549786.16666666663</v>
      </c>
      <c r="H6" s="2">
        <f>Dashboard7[[#This Row],[Total Income]]-Dashboard7[[#This Row],[Total Expense]]</f>
        <v>175213.83333333337</v>
      </c>
    </row>
    <row r="7" spans="2:8">
      <c r="B7" s="1">
        <v>45717</v>
      </c>
      <c r="C7" s="2">
        <f>SUMIFS(Lorry_Trips2025[Gross Income], Lorry_Trips2025[Date], "&gt;="&amp;Dashboard7[[#This Row],[Month]], Lorry_Trips2025[Date], "&lt;"&amp;EDATE(Dashboard7[[#This Row],[Month]],1))</f>
        <v>780000</v>
      </c>
      <c r="D7" s="2">
        <f>SUMIFS(Lorry_Trips2025[Total Expense], Lorry_Trips2025[Date], "&gt;="&amp;Dashboard7[[#This Row],[Month]], Lorry_Trips2025[Date], "&lt;"&amp;EDATE(Dashboard7[[#This Row],[Month]],1))</f>
        <v>588260</v>
      </c>
      <c r="E7" s="2">
        <f>SUM(Fixed_Expenses[Mar])</f>
        <v>120446.16666666666</v>
      </c>
      <c r="F7" s="2">
        <f>SUMIFS(MaintLog[Cost], MaintLog[Date Undertaken], "&gt;="&amp;Dashboard7[[#This Row],[Month]], MaintLog[Date Undertaken], "&lt;"&amp;EDATE(Dashboard7[[#This Row],[Month]],1))</f>
        <v>8045</v>
      </c>
      <c r="G7" s="2">
        <f>SUM(Dashboard7[[#This Row],[Variable Expenses]:[Maintenance]])</f>
        <v>716751.16666666663</v>
      </c>
      <c r="H7" s="2">
        <f>Dashboard7[[#This Row],[Total Income]]-Dashboard7[[#This Row],[Total Expense]]</f>
        <v>63248.833333333372</v>
      </c>
    </row>
    <row r="8" spans="2:8">
      <c r="B8" s="1">
        <v>45748</v>
      </c>
      <c r="C8" s="2">
        <f>SUMIFS(Lorry_Trips2025[Gross Income], Lorry_Trips2025[Date], "&gt;="&amp;Dashboard7[[#This Row],[Month]], Lorry_Trips2025[Date], "&lt;"&amp;EDATE(Dashboard7[[#This Row],[Month]],1))</f>
        <v>1265400</v>
      </c>
      <c r="D8" s="2">
        <f>SUMIFS(Lorry_Trips2025[Total Expense], Lorry_Trips2025[Date], "&gt;="&amp;Dashboard7[[#This Row],[Month]], Lorry_Trips2025[Date], "&lt;"&amp;EDATE(Dashboard7[[#This Row],[Month]],1))</f>
        <v>935680</v>
      </c>
      <c r="E8" s="2">
        <f>SUM(Fixed_Expenses[Apr])</f>
        <v>120446.16666666666</v>
      </c>
      <c r="F8" s="2">
        <f>SUMIFS(MaintLog[Cost], MaintLog[Date Undertaken], "&gt;="&amp;Dashboard7[[#This Row],[Month]], MaintLog[Date Undertaken], "&lt;"&amp;EDATE(Dashboard7[[#This Row],[Month]],1))</f>
        <v>208500</v>
      </c>
      <c r="G8" s="2">
        <f>SUM(Dashboard7[[#This Row],[Variable Expenses]:[Maintenance]])</f>
        <v>1264626.1666666667</v>
      </c>
      <c r="H8" s="2">
        <f>Dashboard7[[#This Row],[Total Income]]-Dashboard7[[#This Row],[Total Expense]]</f>
        <v>773.83333333325572</v>
      </c>
    </row>
    <row r="9" spans="2:8">
      <c r="B9" s="1">
        <v>45778</v>
      </c>
      <c r="C9" s="2">
        <f>SUMIFS(Lorry_Trips2025[Gross Income], Lorry_Trips2025[Date], "&gt;="&amp;Dashboard7[[#This Row],[Month]], Lorry_Trips2025[Date], "&lt;"&amp;EDATE(Dashboard7[[#This Row],[Month]],1))</f>
        <v>730200</v>
      </c>
      <c r="D9" s="2">
        <f>SUMIFS(Lorry_Trips2025[Total Expense], Lorry_Trips2025[Date], "&gt;="&amp;Dashboard7[[#This Row],[Month]], Lorry_Trips2025[Date], "&lt;"&amp;EDATE(Dashboard7[[#This Row],[Month]],1))</f>
        <v>446676</v>
      </c>
      <c r="E9" s="2">
        <f>SUM(Fixed_Expenses[May])</f>
        <v>0</v>
      </c>
      <c r="F9" s="2">
        <f>SUMIFS(MaintLog[Cost], MaintLog[Date Undertaken], "&gt;="&amp;Dashboard7[[#This Row],[Month]], MaintLog[Date Undertaken], "&lt;"&amp;EDATE(Dashboard7[[#This Row],[Month]],1))</f>
        <v>49500</v>
      </c>
      <c r="G9" s="2">
        <f>SUM(Dashboard7[[#This Row],[Variable Expenses]:[Maintenance]])</f>
        <v>496176</v>
      </c>
      <c r="H9" s="2">
        <f>Dashboard7[[#This Row],[Total Income]]-Dashboard7[[#This Row],[Total Expense]]</f>
        <v>234024</v>
      </c>
    </row>
    <row r="10" spans="2:8">
      <c r="B10" s="1">
        <v>45809</v>
      </c>
      <c r="C10" s="2">
        <f>SUMIFS(Lorry_Trips2025[Gross Income], Lorry_Trips2025[Date], "&gt;="&amp;Dashboard7[[#This Row],[Month]], Lorry_Trips2025[Date], "&lt;"&amp;EDATE(Dashboard7[[#This Row],[Month]],1))</f>
        <v>810000</v>
      </c>
      <c r="D10" s="2">
        <f>SUMIFS(Lorry_Trips2025[Total Expense], Lorry_Trips2025[Date], "&gt;="&amp;Dashboard7[[#This Row],[Month]], Lorry_Trips2025[Date], "&lt;"&amp;EDATE(Dashboard7[[#This Row],[Month]],1))</f>
        <v>560010</v>
      </c>
      <c r="E10" s="2">
        <f>SUM(Fixed_Expenses[Jun])</f>
        <v>0</v>
      </c>
      <c r="F10" s="2">
        <f>SUMIFS(MaintLog[Cost], MaintLog[Date Undertaken], "&gt;="&amp;Dashboard7[[#This Row],[Month]], MaintLog[Date Undertaken], "&lt;"&amp;EDATE(Dashboard7[[#This Row],[Month]],1))</f>
        <v>37500</v>
      </c>
      <c r="G10" s="2">
        <f>SUM(Dashboard7[[#This Row],[Variable Expenses]:[Maintenance]])</f>
        <v>597510</v>
      </c>
      <c r="H10" s="2">
        <f>Dashboard7[[#This Row],[Total Income]]-Dashboard7[[#This Row],[Total Expense]]</f>
        <v>212490</v>
      </c>
    </row>
    <row r="11" spans="2:8">
      <c r="B11" s="1">
        <v>45839</v>
      </c>
      <c r="C11" s="2">
        <f>SUMIFS(Lorry_Trips2025[Gross Income], Lorry_Trips2025[Date], "&gt;="&amp;Dashboard7[[#This Row],[Month]], Lorry_Trips2025[Date], "&lt;"&amp;EDATE(Dashboard7[[#This Row],[Month]],1))</f>
        <v>925200</v>
      </c>
      <c r="D11" s="2">
        <f>SUMIFS(Lorry_Trips2025[Total Expense], Lorry_Trips2025[Date], "&gt;="&amp;Dashboard7[[#This Row],[Month]], Lorry_Trips2025[Date], "&lt;"&amp;EDATE(Dashboard7[[#This Row],[Month]],1))</f>
        <v>252094</v>
      </c>
      <c r="E11" s="2">
        <f>SUM(Fixed_Expenses[Jul])</f>
        <v>0</v>
      </c>
      <c r="F11" s="2">
        <f>SUMIFS(MaintLog[Cost], MaintLog[Date Undertaken], "&gt;="&amp;Dashboard7[[#This Row],[Month]], MaintLog[Date Undertaken], "&lt;"&amp;EDATE(Dashboard7[[#This Row],[Month]],1))</f>
        <v>0</v>
      </c>
      <c r="G11" s="2">
        <f>SUM(Dashboard7[[#This Row],[Variable Expenses]:[Maintenance]])</f>
        <v>252094</v>
      </c>
      <c r="H11" s="2">
        <f>Dashboard7[[#This Row],[Total Income]]-Dashboard7[[#This Row],[Total Expense]]</f>
        <v>673106</v>
      </c>
    </row>
    <row r="12" spans="2:8">
      <c r="B12" s="1">
        <v>45870</v>
      </c>
      <c r="C12" s="2">
        <f>SUMIFS(Lorry_Trips2025[Gross Income], Lorry_Trips2025[Date], "&gt;="&amp;Dashboard7[[#This Row],[Month]], Lorry_Trips2025[Date], "&lt;"&amp;EDATE(Dashboard7[[#This Row],[Month]],1))</f>
        <v>1350000</v>
      </c>
      <c r="D12" s="2">
        <f>SUMIFS(Lorry_Trips2025[Total Expense], Lorry_Trips2025[Date], "&gt;="&amp;Dashboard7[[#This Row],[Month]], Lorry_Trips2025[Date], "&lt;"&amp;EDATE(Dashboard7[[#This Row],[Month]],1))</f>
        <v>983231</v>
      </c>
      <c r="E12" s="2">
        <f>SUM(Fixed_Expenses[Aug])</f>
        <v>0</v>
      </c>
      <c r="F12" s="2">
        <f>SUMIFS(MaintLog[Cost], MaintLog[Date Undertaken], "&gt;="&amp;Dashboard7[[#This Row],[Month]], MaintLog[Date Undertaken], "&lt;"&amp;EDATE(Dashboard7[[#This Row],[Month]],1))</f>
        <v>0</v>
      </c>
      <c r="G12" s="2">
        <f>SUM(Dashboard7[[#This Row],[Variable Expenses]:[Maintenance]])</f>
        <v>983231</v>
      </c>
      <c r="H12" s="2">
        <f>Dashboard7[[#This Row],[Total Income]]-Dashboard7[[#This Row],[Total Expense]]</f>
        <v>366769</v>
      </c>
    </row>
    <row r="13" spans="2:8">
      <c r="B13" s="1">
        <v>45901</v>
      </c>
      <c r="C13" s="2">
        <f>SUMIFS(Lorry_Trips2025[Gross Income], Lorry_Trips2025[Date], "&gt;="&amp;Dashboard7[[#This Row],[Month]], Lorry_Trips2025[Date], "&lt;"&amp;EDATE(Dashboard7[[#This Row],[Month]],1))</f>
        <v>800000</v>
      </c>
      <c r="D13" s="2">
        <f>SUMIFS(Lorry_Trips2025[Total Expense], Lorry_Trips2025[Date], "&gt;="&amp;Dashboard7[[#This Row],[Month]], Lorry_Trips2025[Date], "&lt;"&amp;EDATE(Dashboard7[[#This Row],[Month]],1))</f>
        <v>589174.80000000005</v>
      </c>
      <c r="E13" s="2">
        <f>SUM(Fixed_Expenses[Sep])</f>
        <v>0</v>
      </c>
      <c r="F13" s="2">
        <f>SUMIFS(MaintLog[Cost], MaintLog[Date Undertaken], "&gt;="&amp;Dashboard7[[#This Row],[Month]], MaintLog[Date Undertaken], "&lt;"&amp;EDATE(Dashboard7[[#This Row],[Month]],1))</f>
        <v>0</v>
      </c>
      <c r="G13" s="2">
        <f>SUM(Dashboard7[[#This Row],[Variable Expenses]:[Maintenance]])</f>
        <v>589174.80000000005</v>
      </c>
      <c r="H13" s="2">
        <f>Dashboard7[[#This Row],[Total Income]]-Dashboard7[[#This Row],[Total Expense]]</f>
        <v>210825.19999999995</v>
      </c>
    </row>
    <row r="14" spans="2:8">
      <c r="B14" s="1">
        <v>45931</v>
      </c>
      <c r="C14" s="2">
        <f>SUMIFS(Lorry_Trips2025[Gross Income], Lorry_Trips2025[Date], "&gt;="&amp;Dashboard7[[#This Row],[Month]], Lorry_Trips2025[Date], "&lt;"&amp;EDATE(Dashboard7[[#This Row],[Month]],1))</f>
        <v>540000</v>
      </c>
      <c r="D14" s="2">
        <f>SUMIFS(Lorry_Trips2025[Total Expense], Lorry_Trips2025[Date], "&gt;="&amp;Dashboard7[[#This Row],[Month]], Lorry_Trips2025[Date], "&lt;"&amp;EDATE(Dashboard7[[#This Row],[Month]],1))</f>
        <v>353742</v>
      </c>
      <c r="E14" s="2">
        <f>SUM(Fixed_Expenses[Oct])</f>
        <v>0</v>
      </c>
      <c r="F14" s="2">
        <f>SUMIFS(MaintLog[Cost], MaintLog[Date Undertaken], "&gt;="&amp;Dashboard7[[#This Row],[Month]], MaintLog[Date Undertaken], "&lt;"&amp;EDATE(Dashboard7[[#This Row],[Month]],1))</f>
        <v>0</v>
      </c>
      <c r="G14" s="2">
        <f>SUM(Dashboard7[[#This Row],[Variable Expenses]:[Maintenance]])</f>
        <v>353742</v>
      </c>
      <c r="H14" s="2">
        <f>Dashboard7[[#This Row],[Total Income]]-Dashboard7[[#This Row],[Total Expense]]</f>
        <v>186258</v>
      </c>
    </row>
    <row r="15" spans="2:8">
      <c r="B15" s="1">
        <v>45962</v>
      </c>
      <c r="C15" s="2">
        <f>SUMIFS(Lorry_Trips2025[Gross Income], Lorry_Trips2025[Date], "&gt;="&amp;Dashboard7[[#This Row],[Month]], Lorry_Trips2025[Date], "&lt;"&amp;EDATE(Dashboard7[[#This Row],[Month]],1))</f>
        <v>810000</v>
      </c>
      <c r="D15" s="2">
        <f>SUMIFS(Lorry_Trips2025[Total Expense], Lorry_Trips2025[Date], "&gt;="&amp;Dashboard7[[#This Row],[Month]], Lorry_Trips2025[Date], "&lt;"&amp;EDATE(Dashboard7[[#This Row],[Month]],1))</f>
        <v>520113</v>
      </c>
      <c r="E15" s="2">
        <f>SUM(Fixed_Expenses[Nov])</f>
        <v>0</v>
      </c>
      <c r="F15" s="2">
        <f>SUMIFS(MaintLog[Cost], MaintLog[Date Undertaken], "&gt;="&amp;Dashboard7[[#This Row],[Month]], MaintLog[Date Undertaken], "&lt;"&amp;EDATE(Dashboard7[[#This Row],[Month]],1))</f>
        <v>0</v>
      </c>
      <c r="G15" s="2">
        <f>SUM(Dashboard7[[#This Row],[Variable Expenses]:[Maintenance]])</f>
        <v>520113</v>
      </c>
      <c r="H15" s="2">
        <f>Dashboard7[[#This Row],[Total Income]]-Dashboard7[[#This Row],[Total Expense]]</f>
        <v>289887</v>
      </c>
    </row>
    <row r="16" spans="2:8">
      <c r="B16" s="1">
        <v>45992</v>
      </c>
      <c r="C16" s="2">
        <f>SUMIFS(Lorry_Trips2025[Gross Income], Lorry_Trips2025[Date], "&gt;="&amp;Dashboard7[[#This Row],[Month]], Lorry_Trips2025[Date], "&lt;"&amp;EDATE(Dashboard7[[#This Row],[Month]],1))</f>
        <v>805000</v>
      </c>
      <c r="D16" s="2">
        <f>SUMIFS(Lorry_Trips2025[Total Expense], Lorry_Trips2025[Date], "&gt;="&amp;Dashboard7[[#This Row],[Month]], Lorry_Trips2025[Date], "&lt;"&amp;EDATE(Dashboard7[[#This Row],[Month]],1))</f>
        <v>545904</v>
      </c>
      <c r="E16" s="2">
        <f>SUM(Fixed_Expenses[Dec])</f>
        <v>0</v>
      </c>
      <c r="F16" s="2">
        <f>SUMIFS(MaintLog[Cost], MaintLog[Date Undertaken], "&gt;="&amp;Dashboard7[[#This Row],[Month]], MaintLog[Date Undertaken], "&lt;"&amp;EDATE(Dashboard7[[#This Row],[Month]],1))</f>
        <v>0</v>
      </c>
      <c r="G16" s="2">
        <f>SUM(Dashboard7[[#This Row],[Variable Expenses]:[Maintenance]])</f>
        <v>545904</v>
      </c>
      <c r="H16" s="2">
        <f>Dashboard7[[#This Row],[Total Income]]-Dashboard7[[#This Row],[Total Expense]]</f>
        <v>259096</v>
      </c>
    </row>
    <row r="19" spans="2:5">
      <c r="B19" s="22" t="s">
        <v>0</v>
      </c>
      <c r="C19" s="22" t="s">
        <v>7</v>
      </c>
      <c r="D19" s="22" t="s">
        <v>8</v>
      </c>
      <c r="E19" s="22" t="s">
        <v>9</v>
      </c>
    </row>
    <row r="20" spans="2:5">
      <c r="B20" s="1">
        <v>45658</v>
      </c>
      <c r="C20" s="111">
        <f>SUMIFS(Lorry_Trips2025[Fuel Efficiency], Lorry_Trips2025[Date], "&gt;="&amp;Dashboard713[[#This Row],[Month]], Lorry_Trips2025[Date], "&lt;"&amp;EDATE(Dashboard713[[#This Row],[Month]],1))</f>
        <v>2.2758106091439426E-2</v>
      </c>
      <c r="D20" s="2">
        <f>SUMIFS(Lorry_Trips2025[Cost per KMs], Lorry_Trips2025[Date], "&gt;="&amp;Dashboard713[[#This Row],[Month]], Lorry_Trips2025[Date], "&lt;"&amp;EDATE(Dashboard713[[#This Row],[Month]],1))</f>
        <v>454.97044192920481</v>
      </c>
      <c r="E20" s="27">
        <f>SUMIFS(Lorry_Trips2025[Profit Margin], Lorry_Trips2025[Date], "&gt;="&amp;Dashboard713[[#This Row],[Month]], Lorry_Trips2025[Date], "&lt;"&amp;EDATE(Dashboard713[[#This Row],[Month]],1))</f>
        <v>1.7219926809113448</v>
      </c>
    </row>
    <row r="21" spans="2:5">
      <c r="B21" s="1">
        <v>45689</v>
      </c>
      <c r="C21" s="111">
        <f>SUMIFS(Lorry_Trips2025[Fuel Efficiency], Lorry_Trips2025[Date], "&gt;="&amp;Dashboard713[[#This Row],[Month]], Lorry_Trips2025[Date], "&lt;"&amp;EDATE(Dashboard713[[#This Row],[Month]],1))</f>
        <v>6.8513688780355436E-2</v>
      </c>
      <c r="D21" s="2">
        <f>SUMIFS(Lorry_Trips2025[Cost per KMs], Lorry_Trips2025[Date], "&gt;="&amp;Dashboard713[[#This Row],[Month]], Lorry_Trips2025[Date], "&lt;"&amp;EDATE(Dashboard713[[#This Row],[Month]],1))</f>
        <v>399.33566433566432</v>
      </c>
      <c r="E21" s="27">
        <f>SUMIFS(Lorry_Trips2025[Profit Margin], Lorry_Trips2025[Date], "&gt;="&amp;Dashboard713[[#This Row],[Month]], Lorry_Trips2025[Date], "&lt;"&amp;EDATE(Dashboard713[[#This Row],[Month]],1))</f>
        <v>4.0147484874292863</v>
      </c>
    </row>
    <row r="22" spans="2:5">
      <c r="B22" s="1">
        <v>45717</v>
      </c>
      <c r="C22" s="111">
        <f>SUMIFS(Lorry_Trips2025[Fuel Efficiency], Lorry_Trips2025[Date], "&gt;="&amp;Dashboard713[[#This Row],[Month]], Lorry_Trips2025[Date], "&lt;"&amp;EDATE(Dashboard713[[#This Row],[Month]],1))</f>
        <v>2.127255460588794E-2</v>
      </c>
      <c r="D22" s="2">
        <f>SUMIFS(Lorry_Trips2025[Cost per KMs], Lorry_Trips2025[Date], "&gt;="&amp;Dashboard713[[#This Row],[Month]], Lorry_Trips2025[Date], "&lt;"&amp;EDATE(Dashboard713[[#This Row],[Month]],1))</f>
        <v>559.96286302162594</v>
      </c>
      <c r="E22" s="27">
        <f>SUMIFS(Lorry_Trips2025[Profit Margin], Lorry_Trips2025[Date], "&gt;="&amp;Dashboard713[[#This Row],[Month]], Lorry_Trips2025[Date], "&lt;"&amp;EDATE(Dashboard713[[#This Row],[Month]],1))</f>
        <v>1.1117136533052279</v>
      </c>
    </row>
    <row r="23" spans="2:5">
      <c r="B23" s="1">
        <v>45748</v>
      </c>
      <c r="C23" s="111">
        <f>SUMIFS(Lorry_Trips2025[Fuel Efficiency], Lorry_Trips2025[Date], "&gt;="&amp;Dashboard713[[#This Row],[Month]], Lorry_Trips2025[Date], "&lt;"&amp;EDATE(Dashboard713[[#This Row],[Month]],1))</f>
        <v>7.1960557157399491E-2</v>
      </c>
      <c r="D23" s="2">
        <f>SUMIFS(Lorry_Trips2025[Cost per KMs], Lorry_Trips2025[Date], "&gt;="&amp;Dashboard713[[#This Row],[Month]], Lorry_Trips2025[Date], "&lt;"&amp;EDATE(Dashboard713[[#This Row],[Month]],1))</f>
        <v>438.67132867132864</v>
      </c>
      <c r="E23" s="27">
        <f>SUMIFS(Lorry_Trips2025[Profit Margin], Lorry_Trips2025[Date], "&gt;="&amp;Dashboard713[[#This Row],[Month]], Lorry_Trips2025[Date], "&lt;"&amp;EDATE(Dashboard713[[#This Row],[Month]],1))</f>
        <v>3.0716479988607759</v>
      </c>
    </row>
    <row r="24" spans="2:5">
      <c r="B24" s="1">
        <v>45778</v>
      </c>
      <c r="C24" s="111">
        <f>SUMIFS(Lorry_Trips2025[Fuel Efficiency], Lorry_Trips2025[Date], "&gt;="&amp;Dashboard713[[#This Row],[Month]], Lorry_Trips2025[Date], "&lt;"&amp;EDATE(Dashboard713[[#This Row],[Month]],1))</f>
        <v>0</v>
      </c>
      <c r="D24" s="2">
        <f>SUMIFS(Lorry_Trips2025[Cost per KMs], Lorry_Trips2025[Date], "&gt;="&amp;Dashboard713[[#This Row],[Month]], Lorry_Trips2025[Date], "&lt;"&amp;EDATE(Dashboard713[[#This Row],[Month]],1))</f>
        <v>0</v>
      </c>
      <c r="E24" s="27">
        <f>SUMIFS(Lorry_Trips2025[Profit Margin], Lorry_Trips2025[Date], "&gt;="&amp;Dashboard713[[#This Row],[Month]], Lorry_Trips2025[Date], "&lt;"&amp;EDATE(Dashboard713[[#This Row],[Month]],1))</f>
        <v>2.8679847589904557</v>
      </c>
    </row>
    <row r="25" spans="2:5">
      <c r="B25" s="1">
        <v>45809</v>
      </c>
      <c r="C25" s="111">
        <f>SUMIFS(Lorry_Trips2025[Fuel Efficiency], Lorry_Trips2025[Date], "&gt;="&amp;Dashboard713[[#This Row],[Month]], Lorry_Trips2025[Date], "&lt;"&amp;EDATE(Dashboard713[[#This Row],[Month]],1))</f>
        <v>0</v>
      </c>
      <c r="D25" s="2">
        <f>SUMIFS(Lorry_Trips2025[Cost per KMs], Lorry_Trips2025[Date], "&gt;="&amp;Dashboard713[[#This Row],[Month]], Lorry_Trips2025[Date], "&lt;"&amp;EDATE(Dashboard713[[#This Row],[Month]],1))</f>
        <v>0</v>
      </c>
      <c r="E25" s="27">
        <f>SUMIFS(Lorry_Trips2025[Profit Margin], Lorry_Trips2025[Date], "&gt;="&amp;Dashboard713[[#This Row],[Month]], Lorry_Trips2025[Date], "&lt;"&amp;EDATE(Dashboard713[[#This Row],[Month]],1))</f>
        <v>1.3704438118937179</v>
      </c>
    </row>
    <row r="26" spans="2:5">
      <c r="B26" s="1">
        <v>45839</v>
      </c>
      <c r="C26" s="111">
        <f>SUMIFS(Lorry_Trips2025[Fuel Efficiency], Lorry_Trips2025[Date], "&gt;="&amp;Dashboard713[[#This Row],[Month]], Lorry_Trips2025[Date], "&lt;"&amp;EDATE(Dashboard713[[#This Row],[Month]],1))</f>
        <v>0</v>
      </c>
      <c r="D26" s="2">
        <f>SUMIFS(Lorry_Trips2025[Cost per KMs], Lorry_Trips2025[Date], "&gt;="&amp;Dashboard713[[#This Row],[Month]], Lorry_Trips2025[Date], "&lt;"&amp;EDATE(Dashboard713[[#This Row],[Month]],1))</f>
        <v>0</v>
      </c>
      <c r="E26" s="27">
        <f>SUMIFS(Lorry_Trips2025[Profit Margin], Lorry_Trips2025[Date], "&gt;="&amp;Dashboard713[[#This Row],[Month]], Lorry_Trips2025[Date], "&lt;"&amp;EDATE(Dashboard713[[#This Row],[Month]],1))</f>
        <v>3.3816757031348357</v>
      </c>
    </row>
    <row r="27" spans="2:5">
      <c r="B27" s="1">
        <v>45870</v>
      </c>
      <c r="C27" s="111">
        <f>SUMIFS(Lorry_Trips2025[Fuel Efficiency], Lorry_Trips2025[Date], "&gt;="&amp;Dashboard713[[#This Row],[Month]], Lorry_Trips2025[Date], "&lt;"&amp;EDATE(Dashboard713[[#This Row],[Month]],1))</f>
        <v>0</v>
      </c>
      <c r="D27" s="2">
        <f>SUMIFS(Lorry_Trips2025[Cost per KMs], Lorry_Trips2025[Date], "&gt;="&amp;Dashboard713[[#This Row],[Month]], Lorry_Trips2025[Date], "&lt;"&amp;EDATE(Dashboard713[[#This Row],[Month]],1))</f>
        <v>0</v>
      </c>
      <c r="E27" s="27">
        <f>SUMIFS(Lorry_Trips2025[Profit Margin], Lorry_Trips2025[Date], "&gt;="&amp;Dashboard713[[#This Row],[Month]], Lorry_Trips2025[Date], "&lt;"&amp;EDATE(Dashboard713[[#This Row],[Month]],1))</f>
        <v>2.1422245108727855</v>
      </c>
    </row>
    <row r="28" spans="2:5">
      <c r="B28" s="1">
        <v>45901</v>
      </c>
      <c r="C28" s="111">
        <f>SUMIFS(Lorry_Trips2025[Fuel Efficiency], Lorry_Trips2025[Date], "&gt;="&amp;Dashboard713[[#This Row],[Month]], Lorry_Trips2025[Date], "&lt;"&amp;EDATE(Dashboard713[[#This Row],[Month]],1))</f>
        <v>0</v>
      </c>
      <c r="D28" s="2">
        <f>SUMIFS(Lorry_Trips2025[Cost per KMs], Lorry_Trips2025[Date], "&gt;="&amp;Dashboard713[[#This Row],[Month]], Lorry_Trips2025[Date], "&lt;"&amp;EDATE(Dashboard713[[#This Row],[Month]],1))</f>
        <v>0</v>
      </c>
      <c r="E28" s="27">
        <f>SUMIFS(Lorry_Trips2025[Profit Margin], Lorry_Trips2025[Date], "&gt;="&amp;Dashboard713[[#This Row],[Month]], Lorry_Trips2025[Date], "&lt;"&amp;EDATE(Dashboard713[[#This Row],[Month]],1))</f>
        <v>1.1699043548906594</v>
      </c>
    </row>
    <row r="29" spans="2:5">
      <c r="B29" s="1">
        <v>45931</v>
      </c>
      <c r="C29" s="111">
        <f>SUMIFS(Lorry_Trips2025[Fuel Efficiency], Lorry_Trips2025[Date], "&gt;="&amp;Dashboard713[[#This Row],[Month]], Lorry_Trips2025[Date], "&lt;"&amp;EDATE(Dashboard713[[#This Row],[Month]],1))</f>
        <v>0</v>
      </c>
      <c r="D29" s="2">
        <f>SUMIFS(Lorry_Trips2025[Cost per KMs], Lorry_Trips2025[Date], "&gt;="&amp;Dashboard713[[#This Row],[Month]], Lorry_Trips2025[Date], "&lt;"&amp;EDATE(Dashboard713[[#This Row],[Month]],1))</f>
        <v>0</v>
      </c>
      <c r="E29" s="27">
        <f>SUMIFS(Lorry_Trips2025[Profit Margin], Lorry_Trips2025[Date], "&gt;="&amp;Dashboard713[[#This Row],[Month]], Lorry_Trips2025[Date], "&lt;"&amp;EDATE(Dashboard713[[#This Row],[Month]],1))</f>
        <v>1.0542685752088619</v>
      </c>
    </row>
    <row r="30" spans="2:5">
      <c r="B30" s="1">
        <v>45962</v>
      </c>
      <c r="C30" s="111">
        <f>SUMIFS(Lorry_Trips2025[Fuel Efficiency], Lorry_Trips2025[Date], "&gt;="&amp;Dashboard713[[#This Row],[Month]], Lorry_Trips2025[Date], "&lt;"&amp;EDATE(Dashboard713[[#This Row],[Month]],1))</f>
        <v>0</v>
      </c>
      <c r="D30" s="2">
        <f>SUMIFS(Lorry_Trips2025[Cost per KMs], Lorry_Trips2025[Date], "&gt;="&amp;Dashboard713[[#This Row],[Month]], Lorry_Trips2025[Date], "&lt;"&amp;EDATE(Dashboard713[[#This Row],[Month]],1))</f>
        <v>0</v>
      </c>
      <c r="E30" s="27">
        <f>SUMIFS(Lorry_Trips2025[Profit Margin], Lorry_Trips2025[Date], "&gt;="&amp;Dashboard713[[#This Row],[Month]], Lorry_Trips2025[Date], "&lt;"&amp;EDATE(Dashboard713[[#This Row],[Month]],1))</f>
        <v>1.6720616481418462</v>
      </c>
    </row>
    <row r="31" spans="2:5">
      <c r="B31" s="1">
        <v>45992</v>
      </c>
      <c r="C31" s="111">
        <f>SUMIFS(Lorry_Trips2025[Fuel Efficiency], Lorry_Trips2025[Date], "&gt;="&amp;Dashboard713[[#This Row],[Month]], Lorry_Trips2025[Date], "&lt;"&amp;EDATE(Dashboard713[[#This Row],[Month]],1))</f>
        <v>0</v>
      </c>
      <c r="D31" s="2">
        <f>SUMIFS(Lorry_Trips2025[Cost per KMs], Lorry_Trips2025[Date], "&gt;="&amp;Dashboard713[[#This Row],[Month]], Lorry_Trips2025[Date], "&lt;"&amp;EDATE(Dashboard713[[#This Row],[Month]],1))</f>
        <v>0</v>
      </c>
      <c r="E31" s="27">
        <f>SUMIFS(Lorry_Trips2025[Profit Margin], Lorry_Trips2025[Date], "&gt;="&amp;Dashboard713[[#This Row],[Month]], Lorry_Trips2025[Date], "&lt;"&amp;EDATE(Dashboard713[[#This Row],[Month]],1))</f>
        <v>1.4415481791698952</v>
      </c>
    </row>
    <row r="32" spans="2:5">
      <c r="B32" s="1"/>
      <c r="C32" s="2"/>
      <c r="D32" s="2"/>
      <c r="E32" s="2"/>
    </row>
    <row r="33" spans="2:5">
      <c r="B33" s="1"/>
      <c r="C33" s="2"/>
      <c r="D33" s="2"/>
      <c r="E33" s="2"/>
    </row>
    <row r="34" spans="2:5">
      <c r="B34" s="1"/>
      <c r="C34" s="2"/>
      <c r="D34" s="2"/>
      <c r="E34" s="2"/>
    </row>
  </sheetData>
  <pageMargins left="0.7" right="0.7" top="0.75" bottom="0.75" header="0.3" footer="0.3"/>
  <ignoredErrors>
    <ignoredError sqref="E8 E9:E16 E5:E6" calculatedColumn="1"/>
  </ignoredErrors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022E-0938-6F47-89AC-0070E1DFD2A1}">
  <dimension ref="B1:AC58"/>
  <sheetViews>
    <sheetView showGridLines="0" tabSelected="1" topLeftCell="C1" zoomScale="113" zoomScaleNormal="150" workbookViewId="0">
      <pane ySplit="2" topLeftCell="N3" activePane="bottomLeft" state="frozen"/>
      <selection pane="bottomLeft" activeCell="Y3" sqref="Y3:Y10"/>
    </sheetView>
  </sheetViews>
  <sheetFormatPr defaultColWidth="11" defaultRowHeight="15.75" customHeight="1"/>
  <cols>
    <col min="2" max="2" width="9" customWidth="1"/>
    <col min="3" max="3" width="11.875" bestFit="1" customWidth="1"/>
    <col min="4" max="5" width="13.625" bestFit="1" customWidth="1"/>
    <col min="6" max="6" width="11" hidden="1" customWidth="1"/>
    <col min="7" max="7" width="10.125" hidden="1" customWidth="1"/>
    <col min="8" max="8" width="8.625" hidden="1" customWidth="1"/>
    <col min="9" max="9" width="11.5" customWidth="1"/>
    <col min="10" max="10" width="6.5" customWidth="1"/>
    <col min="11" max="11" width="8.5" customWidth="1"/>
    <col min="12" max="12" width="9.5" customWidth="1"/>
    <col min="13" max="13" width="9.875" style="2" customWidth="1"/>
    <col min="14" max="14" width="8.625" style="2" customWidth="1"/>
    <col min="15" max="15" width="10.5" customWidth="1"/>
    <col min="16" max="16" width="11.625" customWidth="1"/>
    <col min="17" max="18" width="10.125" customWidth="1"/>
    <col min="19" max="19" width="9.875" customWidth="1"/>
    <col min="20" max="20" width="10.875" customWidth="1"/>
    <col min="21" max="21" width="11.875" customWidth="1"/>
    <col min="22" max="22" width="10.625" customWidth="1"/>
    <col min="23" max="23" width="9.625" customWidth="1"/>
    <col min="24" max="24" width="11" customWidth="1"/>
    <col min="25" max="25" width="12.375" customWidth="1"/>
    <col min="26" max="26" width="14.625" customWidth="1"/>
    <col min="27" max="27" width="12" customWidth="1"/>
    <col min="28" max="28" width="11" customWidth="1"/>
    <col min="29" max="29" width="11.625" customWidth="1"/>
    <col min="30" max="30" width="11.5" customWidth="1"/>
  </cols>
  <sheetData>
    <row r="1" spans="2:29" ht="17.25" customHeight="1" thickBot="1">
      <c r="H1" s="36"/>
      <c r="I1" s="36"/>
      <c r="J1" s="36"/>
      <c r="K1" s="137" t="s">
        <v>10</v>
      </c>
      <c r="L1" s="139"/>
      <c r="M1" s="75"/>
      <c r="N1" s="75"/>
      <c r="O1" s="137" t="s">
        <v>11</v>
      </c>
      <c r="P1" s="138"/>
      <c r="Q1" s="138"/>
      <c r="R1" s="138"/>
      <c r="S1" s="138"/>
      <c r="T1" s="139"/>
      <c r="U1" s="137" t="s">
        <v>12</v>
      </c>
      <c r="V1" s="138"/>
      <c r="W1" s="138"/>
      <c r="X1" s="139"/>
      <c r="Z1" s="73"/>
      <c r="AA1" s="73" t="s">
        <v>13</v>
      </c>
      <c r="AB1" s="73"/>
      <c r="AC1" s="73"/>
    </row>
    <row r="2" spans="2:29" s="42" customFormat="1" ht="30.75" customHeight="1">
      <c r="B2" s="39" t="s">
        <v>14</v>
      </c>
      <c r="C2" s="39" t="s">
        <v>15</v>
      </c>
      <c r="D2" s="40" t="s">
        <v>16</v>
      </c>
      <c r="E2" s="40" t="s">
        <v>17</v>
      </c>
      <c r="F2" s="40" t="s">
        <v>18</v>
      </c>
      <c r="G2" s="40" t="s">
        <v>19</v>
      </c>
      <c r="H2" s="40" t="s">
        <v>20</v>
      </c>
      <c r="I2" s="40" t="s">
        <v>21</v>
      </c>
      <c r="J2" s="40" t="s">
        <v>22</v>
      </c>
      <c r="K2" s="40" t="s">
        <v>23</v>
      </c>
      <c r="L2" s="40" t="s">
        <v>24</v>
      </c>
      <c r="M2" s="76" t="s">
        <v>25</v>
      </c>
      <c r="N2" s="76" t="s">
        <v>26</v>
      </c>
      <c r="O2" s="40" t="s">
        <v>27</v>
      </c>
      <c r="P2" s="40" t="s">
        <v>28</v>
      </c>
      <c r="Q2" s="40" t="s">
        <v>29</v>
      </c>
      <c r="R2" s="40" t="s">
        <v>30</v>
      </c>
      <c r="S2" s="40" t="s">
        <v>31</v>
      </c>
      <c r="T2" s="40" t="s">
        <v>5</v>
      </c>
      <c r="U2" s="40" t="s">
        <v>32</v>
      </c>
      <c r="V2" s="40" t="s">
        <v>33</v>
      </c>
      <c r="W2" s="40" t="s">
        <v>34</v>
      </c>
      <c r="X2" s="40" t="s">
        <v>35</v>
      </c>
      <c r="Y2" s="41" t="s">
        <v>36</v>
      </c>
      <c r="Z2" s="40" t="s">
        <v>37</v>
      </c>
      <c r="AA2" s="40" t="s">
        <v>38</v>
      </c>
      <c r="AB2" s="40" t="s">
        <v>9</v>
      </c>
      <c r="AC2" s="40" t="s">
        <v>7</v>
      </c>
    </row>
    <row r="3" spans="2:29">
      <c r="B3" s="23" t="s">
        <v>39</v>
      </c>
      <c r="C3" s="23">
        <v>45673</v>
      </c>
      <c r="D3" s="5" t="s">
        <v>40</v>
      </c>
      <c r="E3" s="5" t="s">
        <v>41</v>
      </c>
      <c r="F3" s="6"/>
      <c r="G3" s="4"/>
      <c r="H3" s="6">
        <f>Lorry_Trips2025[[#This Row],[End ODO]]-Lorry_Trips2025[[#This Row],[Start ODO]]</f>
        <v>0</v>
      </c>
      <c r="I3" s="4">
        <v>1067</v>
      </c>
      <c r="J3" s="4"/>
      <c r="K3" s="4">
        <v>900</v>
      </c>
      <c r="L3" s="4">
        <v>163.80000000000001</v>
      </c>
      <c r="M3" s="82">
        <v>260000</v>
      </c>
      <c r="N3" s="82">
        <f>0.7*Lorry_Trips2025[[#This Row],[Gross Income]]</f>
        <v>182000</v>
      </c>
      <c r="O3" s="32">
        <f>Lorry_Trips2025[[#This Row],[Fuel(L)]]*Lorry_Trips2025[[#This Row],[Fuel Price (Per Litre)]]</f>
        <v>147420</v>
      </c>
      <c r="P3" s="32">
        <v>15000</v>
      </c>
      <c r="Q3" s="32"/>
      <c r="R3" s="32">
        <v>7000</v>
      </c>
      <c r="S3" s="32"/>
      <c r="T3" s="153">
        <f>SUM(Lorry_Trips2025[[#This Row],[Fuel Cost]:[Other Expenses]])</f>
        <v>169420</v>
      </c>
      <c r="U3" s="34">
        <f>Lorry_Trips2025[[#This Row],[Gross Income]]-Lorry_Trips2025[[#This Row],[Total Expense]]</f>
        <v>90580</v>
      </c>
      <c r="V3" s="34">
        <v>90000</v>
      </c>
      <c r="W3" s="91"/>
      <c r="X3" s="83">
        <f>Lorry_Trips2025[[#This Row],[Money Deposited at Bank]]-Lorry_Trips2025[[#This Row],[Net Income]]</f>
        <v>-580</v>
      </c>
      <c r="Y3" s="29">
        <f>Lorry_Trips2025[[#This Row],[Gross Income]]-Lorry_Trips2025[[#This Row],[Total Expense]]</f>
        <v>90580</v>
      </c>
      <c r="Z3" s="38"/>
      <c r="AA3" s="38">
        <f>IFERROR(Lorry_Trips2025[[#This Row],[Total Expense]]/Lorry_Trips2025[[#This Row],[Standard Distance]],0)</f>
        <v>158.78163074039364</v>
      </c>
      <c r="AB3" s="105">
        <f>IFERROR(Lorry_Trips2025[[#This Row],[Net Income]]/Lorry_Trips2025[[#This Row],[Total Expense]],0)</f>
        <v>0.53464762129618704</v>
      </c>
      <c r="AC3" s="108">
        <f>IFERROR(Lorry_Trips2025[[#This Row],[Standard Distance]]/Lorry_Trips2025[[#This Row],[Fuel Cost]],0)</f>
        <v>7.237823904490571E-3</v>
      </c>
    </row>
    <row r="4" spans="2:29">
      <c r="B4" s="23" t="s">
        <v>39</v>
      </c>
      <c r="C4" s="23">
        <v>45681</v>
      </c>
      <c r="D4" s="5" t="s">
        <v>40</v>
      </c>
      <c r="E4" s="5" t="s">
        <v>42</v>
      </c>
      <c r="F4" s="6"/>
      <c r="G4" s="6"/>
      <c r="H4" s="6">
        <f>Lorry_Trips2025[[#This Row],[End ODO]]-Lorry_Trips2025[[#This Row],[Start ODO]]</f>
        <v>0</v>
      </c>
      <c r="I4" s="6">
        <v>1144</v>
      </c>
      <c r="J4" s="6"/>
      <c r="K4" s="6">
        <v>900</v>
      </c>
      <c r="L4" s="6">
        <v>163.80000000000001</v>
      </c>
      <c r="M4" s="82">
        <v>260000</v>
      </c>
      <c r="N4" s="82">
        <f>0.7*Lorry_Trips2025[[#This Row],[Gross Income]]</f>
        <v>182000</v>
      </c>
      <c r="O4" s="32">
        <f>Lorry_Trips2025[[#This Row],[Fuel(L)]]*Lorry_Trips2025[[#This Row],[Fuel Price (Per Litre)]]</f>
        <v>147420</v>
      </c>
      <c r="P4" s="32">
        <v>15000</v>
      </c>
      <c r="Q4" s="32"/>
      <c r="R4" s="32">
        <v>7000</v>
      </c>
      <c r="S4" s="32"/>
      <c r="T4" s="153">
        <f>SUM(Lorry_Trips2025[[#This Row],[Fuel Cost]:[Other Expenses]])</f>
        <v>169420</v>
      </c>
      <c r="U4" s="34">
        <f>Lorry_Trips2025[[#This Row],[Gross Income]]-Lorry_Trips2025[[#This Row],[Total Expense]]</f>
        <v>90580</v>
      </c>
      <c r="V4" s="34">
        <v>10000</v>
      </c>
      <c r="W4" s="91"/>
      <c r="X4" s="83">
        <f>Lorry_Trips2025[[#This Row],[Money Deposited at Bank]]-Lorry_Trips2025[[#This Row],[Net Income]]</f>
        <v>-80580</v>
      </c>
      <c r="Y4" s="29">
        <f>Lorry_Trips2025[[#This Row],[Gross Income]]-Lorry_Trips2025[[#This Row],[Total Expense]]</f>
        <v>90580</v>
      </c>
      <c r="Z4" s="38"/>
      <c r="AA4" s="8">
        <f>IFERROR(Lorry_Trips2025[[#This Row],[Total Expense]]/Lorry_Trips2025[[#This Row],[Standard Distance]],0)</f>
        <v>148.0944055944056</v>
      </c>
      <c r="AB4" s="105">
        <f>IFERROR(Lorry_Trips2025[[#This Row],[Net Income]]/Lorry_Trips2025[[#This Row],[Total Expense]],0)</f>
        <v>0.53464762129618704</v>
      </c>
      <c r="AC4" s="108">
        <f>IFERROR(Lorry_Trips2025[[#This Row],[Standard Distance]]/Lorry_Trips2025[[#This Row],[Fuel Cost]],0)</f>
        <v>7.7601410934744269E-3</v>
      </c>
    </row>
    <row r="5" spans="2:29">
      <c r="B5" s="23" t="s">
        <v>39</v>
      </c>
      <c r="C5" s="23">
        <v>45688</v>
      </c>
      <c r="D5" s="5" t="s">
        <v>40</v>
      </c>
      <c r="E5" s="5" t="s">
        <v>42</v>
      </c>
      <c r="F5" s="6"/>
      <c r="G5" s="6"/>
      <c r="H5" s="6">
        <f>Lorry_Trips2025[[#This Row],[End ODO]]-Lorry_Trips2025[[#This Row],[Start ODO]]</f>
        <v>0</v>
      </c>
      <c r="I5" s="6">
        <v>1144</v>
      </c>
      <c r="J5" s="6"/>
      <c r="K5" s="6">
        <v>900</v>
      </c>
      <c r="L5" s="6">
        <v>163.80000000000001</v>
      </c>
      <c r="M5" s="82">
        <v>280000</v>
      </c>
      <c r="N5" s="82">
        <f>0.7*Lorry_Trips2025[[#This Row],[Gross Income]]</f>
        <v>196000</v>
      </c>
      <c r="O5" s="32">
        <f>Lorry_Trips2025[[#This Row],[Fuel(L)]]*Lorry_Trips2025[[#This Row],[Fuel Price (Per Litre)]]</f>
        <v>147420</v>
      </c>
      <c r="P5" s="32">
        <v>15000</v>
      </c>
      <c r="Q5" s="32"/>
      <c r="R5" s="32">
        <v>7000</v>
      </c>
      <c r="S5" s="32"/>
      <c r="T5" s="153">
        <f>SUM(Lorry_Trips2025[[#This Row],[Fuel Cost]:[Other Expenses]])</f>
        <v>169420</v>
      </c>
      <c r="U5" s="34">
        <f>Lorry_Trips2025[[#This Row],[Gross Income]]-Lorry_Trips2025[[#This Row],[Total Expense]]</f>
        <v>110580</v>
      </c>
      <c r="V5" s="34">
        <v>100000</v>
      </c>
      <c r="W5" s="91">
        <v>45695</v>
      </c>
      <c r="X5" s="83">
        <f>Lorry_Trips2025[[#This Row],[Money Deposited at Bank]]-Lorry_Trips2025[[#This Row],[Net Income]]</f>
        <v>-10580</v>
      </c>
      <c r="Y5" s="29">
        <f>Lorry_Trips2025[[#This Row],[Gross Income]]-Lorry_Trips2025[[#This Row],[Total Expense]]</f>
        <v>110580</v>
      </c>
      <c r="Z5" s="38"/>
      <c r="AA5" s="8">
        <f>IFERROR(Lorry_Trips2025[[#This Row],[Total Expense]]/Lorry_Trips2025[[#This Row],[Standard Distance]],0)</f>
        <v>148.0944055944056</v>
      </c>
      <c r="AB5" s="105">
        <f>IFERROR(Lorry_Trips2025[[#This Row],[Net Income]]/Lorry_Trips2025[[#This Row],[Total Expense]],0)</f>
        <v>0.65269743831897065</v>
      </c>
      <c r="AC5" s="108">
        <f>IFERROR(Lorry_Trips2025[[#This Row],[Standard Distance]]/Lorry_Trips2025[[#This Row],[Fuel Cost]],0)</f>
        <v>7.7601410934744269E-3</v>
      </c>
    </row>
    <row r="6" spans="2:29">
      <c r="B6" s="84" t="s">
        <v>39</v>
      </c>
      <c r="C6" s="84">
        <v>45693</v>
      </c>
      <c r="D6" s="85" t="s">
        <v>40</v>
      </c>
      <c r="E6" s="85" t="s">
        <v>42</v>
      </c>
      <c r="F6" s="85"/>
      <c r="G6" s="85"/>
      <c r="H6" s="85">
        <f>Lorry_Trips2025[[#This Row],[End ODO]]-Lorry_Trips2025[[#This Row],[Start ODO]]</f>
        <v>0</v>
      </c>
      <c r="I6" s="85">
        <v>1144</v>
      </c>
      <c r="J6" s="85"/>
      <c r="K6" s="85">
        <v>900</v>
      </c>
      <c r="L6" s="85">
        <v>163.80000000000001</v>
      </c>
      <c r="M6" s="82">
        <v>270000</v>
      </c>
      <c r="N6" s="82">
        <f>0.7*Lorry_Trips2025[[#This Row],[Gross Income]]</f>
        <v>189000</v>
      </c>
      <c r="O6" s="32">
        <f>Lorry_Trips2025[[#This Row],[Fuel(L)]]*Lorry_Trips2025[[#This Row],[Fuel Price (Per Litre)]]</f>
        <v>147420</v>
      </c>
      <c r="P6" s="32">
        <v>15000</v>
      </c>
      <c r="Q6" s="32"/>
      <c r="R6" s="32">
        <v>7000</v>
      </c>
      <c r="S6" s="32">
        <v>13000</v>
      </c>
      <c r="T6" s="153">
        <f>SUM(Lorry_Trips2025[[#This Row],[Fuel Cost]:[Other Expenses]])</f>
        <v>182420</v>
      </c>
      <c r="U6" s="93">
        <f>Lorry_Trips2025[[#This Row],[Gross Income]]-Lorry_Trips2025[[#This Row],[Total Expense]]</f>
        <v>87580</v>
      </c>
      <c r="V6" s="93">
        <v>87000</v>
      </c>
      <c r="W6" s="94">
        <v>45705</v>
      </c>
      <c r="X6" s="83">
        <f>Lorry_Trips2025[[#This Row],[Money Deposited at Bank]]-Lorry_Trips2025[[#This Row],[Net Income]]</f>
        <v>-580</v>
      </c>
      <c r="Y6" s="29">
        <f>Lorry_Trips2025[[#This Row],[Gross Income]]-Lorry_Trips2025[[#This Row],[Total Expense]]</f>
        <v>87580</v>
      </c>
      <c r="Z6" s="96"/>
      <c r="AA6" s="95">
        <f>IFERROR(Lorry_Trips2025[[#This Row],[Total Expense]]/Lorry_Trips2025[[#This Row],[Standard Distance]],0)</f>
        <v>159.45804195804195</v>
      </c>
      <c r="AB6" s="106">
        <f>IFERROR(Lorry_Trips2025[[#This Row],[Net Income]]/Lorry_Trips2025[[#This Row],[Total Expense]],0)</f>
        <v>0.48010086613309944</v>
      </c>
      <c r="AC6" s="109">
        <f>IFERROR(Lorry_Trips2025[[#This Row],[Standard Distance]]/Lorry_Trips2025[[#This Row],[Fuel Cost]],0)</f>
        <v>7.7601410934744269E-3</v>
      </c>
    </row>
    <row r="7" spans="2:29">
      <c r="B7" s="84" t="s">
        <v>39</v>
      </c>
      <c r="C7" s="84">
        <v>45703</v>
      </c>
      <c r="D7" s="85" t="s">
        <v>42</v>
      </c>
      <c r="E7" s="85" t="s">
        <v>43</v>
      </c>
      <c r="F7" s="85"/>
      <c r="G7" s="85"/>
      <c r="H7" s="85">
        <v>650</v>
      </c>
      <c r="I7" s="85">
        <v>660</v>
      </c>
      <c r="J7" s="85"/>
      <c r="K7" s="85">
        <v>200</v>
      </c>
      <c r="L7" s="85">
        <v>162.5</v>
      </c>
      <c r="M7" s="82">
        <v>75000</v>
      </c>
      <c r="N7" s="82">
        <f>0.7*Lorry_Trips2025[[#This Row],[Gross Income]]</f>
        <v>52500</v>
      </c>
      <c r="O7" s="32">
        <f>Lorry_Trips2025[[#This Row],[Fuel(L)]]*Lorry_Trips2025[[#This Row],[Fuel Price (Per Litre)]]</f>
        <v>32500</v>
      </c>
      <c r="P7" s="32">
        <v>5000</v>
      </c>
      <c r="Q7" s="32"/>
      <c r="R7" s="32">
        <v>0</v>
      </c>
      <c r="S7" s="32"/>
      <c r="T7" s="153">
        <f>SUM(Lorry_Trips2025[[#This Row],[Fuel Cost]:[Other Expenses]])</f>
        <v>37500</v>
      </c>
      <c r="U7" s="93">
        <f>Lorry_Trips2025[[#This Row],[Gross Income]]-Lorry_Trips2025[[#This Row],[Total Expense]]</f>
        <v>37500</v>
      </c>
      <c r="V7" s="93">
        <v>37500</v>
      </c>
      <c r="W7" s="94">
        <v>45703</v>
      </c>
      <c r="X7" s="83">
        <f>Lorry_Trips2025[[#This Row],[Money Deposited at Bank]]-Lorry_Trips2025[[#This Row],[Net Income]]</f>
        <v>0</v>
      </c>
      <c r="Y7" s="29">
        <f>Lorry_Trips2025[[#This Row],[Gross Income]]-Lorry_Trips2025[[#This Row],[Total Expense]]</f>
        <v>37500</v>
      </c>
      <c r="Z7" s="96"/>
      <c r="AA7" s="95">
        <f>IFERROR(Lorry_Trips2025[[#This Row],[Total Expense]]/Lorry_Trips2025[[#This Row],[Standard Distance]],0)</f>
        <v>56.81818181818182</v>
      </c>
      <c r="AB7" s="106">
        <f>IFERROR(Lorry_Trips2025[[#This Row],[Net Income]]/Lorry_Trips2025[[#This Row],[Total Expense]],0)</f>
        <v>1</v>
      </c>
      <c r="AC7" s="109">
        <f>IFERROR(Lorry_Trips2025[[#This Row],[Standard Distance]]/Lorry_Trips2025[[#This Row],[Fuel Cost]],0)</f>
        <v>2.0307692307692308E-2</v>
      </c>
    </row>
    <row r="8" spans="2:29">
      <c r="B8" s="86" t="s">
        <v>39</v>
      </c>
      <c r="C8" s="86">
        <v>45705</v>
      </c>
      <c r="D8" s="87" t="s">
        <v>40</v>
      </c>
      <c r="E8" s="87" t="s">
        <v>42</v>
      </c>
      <c r="F8" s="87"/>
      <c r="G8" s="87"/>
      <c r="H8" s="88">
        <v>0</v>
      </c>
      <c r="I8" s="87">
        <v>1144</v>
      </c>
      <c r="J8" s="87"/>
      <c r="K8" s="87">
        <v>900</v>
      </c>
      <c r="L8" s="87">
        <v>163.80000000000001</v>
      </c>
      <c r="M8" s="82">
        <v>260000</v>
      </c>
      <c r="N8" s="82">
        <f>0.7*Lorry_Trips2025[[#This Row],[Gross Income]]</f>
        <v>182000</v>
      </c>
      <c r="O8" s="32">
        <f>Lorry_Trips2025[[#This Row],[Fuel(L)]]*Lorry_Trips2025[[#This Row],[Fuel Price (Per Litre)]]</f>
        <v>147420</v>
      </c>
      <c r="P8" s="32">
        <v>15000</v>
      </c>
      <c r="Q8" s="32"/>
      <c r="R8" s="32">
        <v>7000</v>
      </c>
      <c r="S8" s="32"/>
      <c r="T8" s="153">
        <f>SUM(Lorry_Trips2025[[#This Row],[Fuel Cost]:[Other Expenses]])</f>
        <v>169420</v>
      </c>
      <c r="U8" s="97">
        <f>Lorry_Trips2025[[#This Row],[Gross Income]]-Lorry_Trips2025[[#This Row],[Total Expense]]</f>
        <v>90580</v>
      </c>
      <c r="V8" s="101">
        <v>40000</v>
      </c>
      <c r="W8" s="102">
        <v>45716</v>
      </c>
      <c r="X8" s="83">
        <f>Lorry_Trips2025[[#This Row],[Money Deposited at Bank]]-Lorry_Trips2025[[#This Row],[Net Income]]</f>
        <v>-50580</v>
      </c>
      <c r="Y8" s="29">
        <f>Lorry_Trips2025[[#This Row],[Gross Income]]-Lorry_Trips2025[[#This Row],[Total Expense]]</f>
        <v>90580</v>
      </c>
      <c r="Z8" s="100"/>
      <c r="AA8" s="99">
        <f>IFERROR(Lorry_Trips2025[[#This Row],[Total Expense]]/Lorry_Trips2025[[#This Row],[Standard Distance]],0)</f>
        <v>148.0944055944056</v>
      </c>
      <c r="AB8" s="107">
        <f>IFERROR(Lorry_Trips2025[[#This Row],[Net Income]]/Lorry_Trips2025[[#This Row],[Total Expense]],0)</f>
        <v>0.53464762129618704</v>
      </c>
      <c r="AC8" s="110">
        <f>IFERROR(Lorry_Trips2025[[#This Row],[Standard Distance]]/Lorry_Trips2025[[#This Row],[Fuel Cost]],0)</f>
        <v>7.7601410934744269E-3</v>
      </c>
    </row>
    <row r="9" spans="2:29">
      <c r="B9" s="86" t="s">
        <v>39</v>
      </c>
      <c r="C9" s="89">
        <v>45712</v>
      </c>
      <c r="D9" s="90" t="s">
        <v>42</v>
      </c>
      <c r="E9" s="90" t="s">
        <v>40</v>
      </c>
      <c r="F9" s="90"/>
      <c r="G9" s="90"/>
      <c r="H9" s="88">
        <v>0</v>
      </c>
      <c r="I9" s="87">
        <v>1144</v>
      </c>
      <c r="J9" s="90"/>
      <c r="K9" s="90">
        <v>250</v>
      </c>
      <c r="L9" s="90">
        <v>162.5</v>
      </c>
      <c r="M9" s="80">
        <v>120000</v>
      </c>
      <c r="N9" s="80">
        <f>0.7*Lorry_Trips2025[[#This Row],[Gross Income]]</f>
        <v>84000</v>
      </c>
      <c r="O9" s="33">
        <v>35000</v>
      </c>
      <c r="P9" s="33">
        <v>5000</v>
      </c>
      <c r="Q9" s="33"/>
      <c r="R9" s="33">
        <v>0</v>
      </c>
      <c r="S9" s="33"/>
      <c r="T9" s="154">
        <f>SUM(Lorry_Trips2025[[#This Row],[Fuel Cost]:[Other Expenses]])</f>
        <v>40000</v>
      </c>
      <c r="U9" s="97">
        <f>Lorry_Trips2025[[#This Row],[Gross Income]]-Lorry_Trips2025[[#This Row],[Total Expense]]</f>
        <v>80000</v>
      </c>
      <c r="V9" s="97">
        <v>60000</v>
      </c>
      <c r="W9" s="98">
        <v>45722</v>
      </c>
      <c r="X9" s="83">
        <f>Lorry_Trips2025[[#This Row],[Money Deposited at Bank]]-Lorry_Trips2025[[#This Row],[Net Income]]</f>
        <v>-20000</v>
      </c>
      <c r="Y9" s="29">
        <f>Lorry_Trips2025[[#This Row],[Gross Income]]-Lorry_Trips2025[[#This Row],[Total Expense]]</f>
        <v>80000</v>
      </c>
      <c r="Z9" s="100"/>
      <c r="AA9" s="99">
        <f>IFERROR(Lorry_Trips2025[[#This Row],[Total Expense]]/Lorry_Trips2025[[#This Row],[Standard Distance]],0)</f>
        <v>34.965034965034967</v>
      </c>
      <c r="AB9" s="107">
        <f>IFERROR(Lorry_Trips2025[[#This Row],[Net Income]]/Lorry_Trips2025[[#This Row],[Total Expense]],0)</f>
        <v>2</v>
      </c>
      <c r="AC9" s="110">
        <f>IFERROR(Lorry_Trips2025[[#This Row],[Standard Distance]]/Lorry_Trips2025[[#This Row],[Fuel Cost]],0)</f>
        <v>3.2685714285714283E-2</v>
      </c>
    </row>
    <row r="10" spans="2:29">
      <c r="B10" s="24" t="s">
        <v>39</v>
      </c>
      <c r="C10" s="25">
        <v>45719</v>
      </c>
      <c r="D10" s="9" t="s">
        <v>40</v>
      </c>
      <c r="E10" s="9" t="s">
        <v>41</v>
      </c>
      <c r="F10" s="9"/>
      <c r="G10" s="9"/>
      <c r="H10" s="31">
        <v>0</v>
      </c>
      <c r="I10" s="4">
        <v>1067</v>
      </c>
      <c r="J10" s="54"/>
      <c r="K10" s="54">
        <v>900</v>
      </c>
      <c r="L10" s="54">
        <v>163.80000000000001</v>
      </c>
      <c r="M10" s="79">
        <v>260000</v>
      </c>
      <c r="N10" s="79">
        <f>0.7*Lorry_Trips2025[[#This Row],[Gross Income]]</f>
        <v>182000</v>
      </c>
      <c r="O10" s="33">
        <v>147420</v>
      </c>
      <c r="P10" s="33">
        <v>15000</v>
      </c>
      <c r="Q10" s="33"/>
      <c r="R10" s="33">
        <v>7000</v>
      </c>
      <c r="S10" s="33"/>
      <c r="T10" s="154">
        <f>SUM(Lorry_Trips2025[[#This Row],[Fuel Cost]:[Other Expenses]])</f>
        <v>169420</v>
      </c>
      <c r="U10" s="34">
        <f>Lorry_Trips2025[[#This Row],[Gross Income]]-Lorry_Trips2025[[#This Row],[Total Expense]]</f>
        <v>90580</v>
      </c>
      <c r="V10" s="34">
        <v>90000</v>
      </c>
      <c r="W10" s="91">
        <v>45736</v>
      </c>
      <c r="X10" s="83">
        <f>Lorry_Trips2025[[#This Row],[Money Deposited at Bank]]-Lorry_Trips2025[[#This Row],[Net Income]]</f>
        <v>-580</v>
      </c>
      <c r="Y10" s="29">
        <f>Lorry_Trips2025[[#This Row],[Gross Income]]-Lorry_Trips2025[[#This Row],[Total Expense]]</f>
        <v>90580</v>
      </c>
      <c r="Z10" s="38"/>
      <c r="AA10" s="8">
        <f>IFERROR(Lorry_Trips2025[[#This Row],[Total Expense]]/Lorry_Trips2025[[#This Row],[Standard Distance]],0)</f>
        <v>158.78163074039364</v>
      </c>
      <c r="AB10" s="105">
        <f>IFERROR(Lorry_Trips2025[[#This Row],[Net Income]]/Lorry_Trips2025[[#This Row],[Total Expense]],0)</f>
        <v>0.53464762129618704</v>
      </c>
      <c r="AC10" s="108">
        <f>IFERROR(Lorry_Trips2025[[#This Row],[Standard Distance]]/Lorry_Trips2025[[#This Row],[Fuel Cost]],0)</f>
        <v>7.237823904490571E-3</v>
      </c>
    </row>
    <row r="11" spans="2:29">
      <c r="B11" s="24" t="s">
        <v>39</v>
      </c>
      <c r="C11" s="25">
        <v>45727</v>
      </c>
      <c r="D11" s="9" t="s">
        <v>40</v>
      </c>
      <c r="E11" s="9" t="s">
        <v>42</v>
      </c>
      <c r="F11" s="9"/>
      <c r="G11" s="9"/>
      <c r="H11" s="31">
        <v>0</v>
      </c>
      <c r="I11" s="6">
        <v>1144</v>
      </c>
      <c r="J11" s="9"/>
      <c r="K11" s="9">
        <v>900</v>
      </c>
      <c r="L11" s="9">
        <v>163.80000000000001</v>
      </c>
      <c r="M11" s="80">
        <v>260000</v>
      </c>
      <c r="N11" s="80">
        <f>0.7*Lorry_Trips2025[[#This Row],[Gross Income]]</f>
        <v>182000</v>
      </c>
      <c r="O11" s="33">
        <f>Lorry_Trips2025[[#This Row],[Fuel(L)]]*Lorry_Trips2025[[#This Row],[Fuel Price (Per Litre)]]</f>
        <v>147420</v>
      </c>
      <c r="P11" s="33">
        <v>15000</v>
      </c>
      <c r="Q11" s="33"/>
      <c r="R11" s="33">
        <v>7000</v>
      </c>
      <c r="S11" s="33">
        <v>80000</v>
      </c>
      <c r="T11" s="154">
        <f>SUM(Lorry_Trips2025[[#This Row],[Fuel Cost]:[Other Expenses]])</f>
        <v>249420</v>
      </c>
      <c r="U11" s="77">
        <f>Lorry_Trips2025[[#This Row],[Gross Income]]-Lorry_Trips2025[[#This Row],[Total Expense]]</f>
        <v>10580</v>
      </c>
      <c r="V11" s="34"/>
      <c r="W11" s="91"/>
      <c r="X11" s="34"/>
      <c r="Y11" s="29"/>
      <c r="Z11" s="38"/>
      <c r="AA11" s="8">
        <f>IFERROR(Lorry_Trips2025[[#This Row],[Total Expense]]/Lorry_Trips2025[[#This Row],[Standard Distance]],0)</f>
        <v>218.02447552447552</v>
      </c>
      <c r="AB11" s="105">
        <f>IFERROR(Lorry_Trips2025[[#This Row],[Net Income]]/Lorry_Trips2025[[#This Row],[Total Expense]],0)</f>
        <v>4.2418410712853821E-2</v>
      </c>
      <c r="AC11" s="108">
        <f>IFERROR(Lorry_Trips2025[[#This Row],[Standard Distance]]/Lorry_Trips2025[[#This Row],[Fuel Cost]],0)</f>
        <v>7.7601410934744269E-3</v>
      </c>
    </row>
    <row r="12" spans="2:29">
      <c r="B12" s="24" t="s">
        <v>39</v>
      </c>
      <c r="C12" s="25">
        <v>45743</v>
      </c>
      <c r="D12" s="9" t="s">
        <v>40</v>
      </c>
      <c r="E12" s="6" t="s">
        <v>42</v>
      </c>
      <c r="F12" s="9"/>
      <c r="G12" s="9"/>
      <c r="H12" s="31">
        <v>0</v>
      </c>
      <c r="I12" s="37">
        <v>925</v>
      </c>
      <c r="J12" s="37"/>
      <c r="K12" s="37">
        <v>900</v>
      </c>
      <c r="L12" s="37">
        <v>163.80000000000001</v>
      </c>
      <c r="M12" s="81">
        <v>260000</v>
      </c>
      <c r="N12" s="81">
        <f>0.7*Lorry_Trips2025[[#This Row],[Gross Income]]</f>
        <v>182000</v>
      </c>
      <c r="O12" s="33">
        <f>Lorry_Trips2025[[#This Row],[Fuel(L)]]*Lorry_Trips2025[[#This Row],[Fuel Price (Per Litre)]]</f>
        <v>147420</v>
      </c>
      <c r="P12" s="33">
        <v>15000</v>
      </c>
      <c r="Q12" s="33"/>
      <c r="R12" s="33">
        <v>7000</v>
      </c>
      <c r="S12" s="33"/>
      <c r="T12" s="154">
        <f>SUM(Lorry_Trips2025[[#This Row],[Fuel Cost]:[Other Expenses]])</f>
        <v>169420</v>
      </c>
      <c r="U12" s="77">
        <f>Lorry_Trips2025[[#This Row],[Gross Income]]-Lorry_Trips2025[[#This Row],[Total Expense]]</f>
        <v>90580</v>
      </c>
      <c r="V12" s="78">
        <v>100000</v>
      </c>
      <c r="W12" s="114">
        <v>45755</v>
      </c>
      <c r="X12" s="113">
        <f>Lorry_Trips2025[[#This Row],[Money Deposited at Bank]]-SUM(U11:U12)</f>
        <v>-1160</v>
      </c>
      <c r="Y12" s="29">
        <f>((M11+M12)-(T11+T12))</f>
        <v>101160</v>
      </c>
      <c r="Z12" s="38"/>
      <c r="AA12" s="8">
        <f>IFERROR(Lorry_Trips2025[[#This Row],[Total Expense]]/Lorry_Trips2025[[#This Row],[Standard Distance]],0)</f>
        <v>183.15675675675675</v>
      </c>
      <c r="AB12" s="105">
        <f>IFERROR(Lorry_Trips2025[[#This Row],[Net Income]]/Lorry_Trips2025[[#This Row],[Total Expense]],0)</f>
        <v>0.53464762129618704</v>
      </c>
      <c r="AC12" s="108">
        <f>IFERROR(Lorry_Trips2025[[#This Row],[Standard Distance]]/Lorry_Trips2025[[#This Row],[Fuel Cost]],0)</f>
        <v>6.2745896079229408E-3</v>
      </c>
    </row>
    <row r="13" spans="2:29">
      <c r="B13" s="24" t="s">
        <v>39</v>
      </c>
      <c r="C13" s="24">
        <v>45751</v>
      </c>
      <c r="D13" s="6" t="s">
        <v>40</v>
      </c>
      <c r="E13" s="6" t="s">
        <v>44</v>
      </c>
      <c r="F13" s="6"/>
      <c r="G13" s="6"/>
      <c r="H13" s="6"/>
      <c r="I13" s="6"/>
      <c r="J13" s="6"/>
      <c r="K13" s="6">
        <v>900</v>
      </c>
      <c r="L13" s="6">
        <v>163.80000000000001</v>
      </c>
      <c r="M13" s="82">
        <v>230000</v>
      </c>
      <c r="N13" s="82">
        <f>0.7*Lorry_Trips2025[[#This Row],[Gross Income]]</f>
        <v>161000</v>
      </c>
      <c r="O13" s="33">
        <f>Lorry_Trips2025[[#This Row],[Fuel(L)]]*Lorry_Trips2025[[#This Row],[Fuel Price (Per Litre)]]</f>
        <v>147420</v>
      </c>
      <c r="P13" s="32">
        <v>15000</v>
      </c>
      <c r="Q13" s="32"/>
      <c r="R13" s="32">
        <v>7000</v>
      </c>
      <c r="S13" s="32"/>
      <c r="T13" s="153">
        <f>SUM(Lorry_Trips2025[[#This Row],[Fuel Cost]:[Other Expenses]])</f>
        <v>169420</v>
      </c>
      <c r="U13" s="103">
        <f>Lorry_Trips2025[[#This Row],[Gross Income]]-Lorry_Trips2025[[#This Row],[Total Expense]]</f>
        <v>60580</v>
      </c>
      <c r="V13" s="34"/>
      <c r="W13" s="91"/>
      <c r="X13" s="34"/>
      <c r="Y13" s="29">
        <f>SUM(Lorry_Trips2025[[#This Row],[Total Expense]],Lorry_Trips2025[[#This Row],[Money Deposited at Bank]])</f>
        <v>169420</v>
      </c>
      <c r="Z13" s="38"/>
      <c r="AA13" s="8">
        <f>IFERROR(Lorry_Trips2025[[#This Row],[Total Expense]]/Lorry_Trips2025[[#This Row],[Standard Distance]],0)</f>
        <v>0</v>
      </c>
      <c r="AB13" s="105">
        <f>IFERROR(Lorry_Trips2025[[#This Row],[Net Income]]/Lorry_Trips2025[[#This Row],[Total Expense]],0)</f>
        <v>0.35757289576201157</v>
      </c>
      <c r="AC13" s="108">
        <f>IFERROR(Lorry_Trips2025[[#This Row],[Standard Distance]]/Lorry_Trips2025[[#This Row],[Fuel Cost]],0)</f>
        <v>0</v>
      </c>
    </row>
    <row r="14" spans="2:29">
      <c r="B14" s="84" t="s">
        <v>39</v>
      </c>
      <c r="C14" s="84">
        <v>45759</v>
      </c>
      <c r="D14" s="85" t="s">
        <v>40</v>
      </c>
      <c r="E14" s="85" t="s">
        <v>45</v>
      </c>
      <c r="F14" s="85"/>
      <c r="G14" s="85"/>
      <c r="H14" s="85"/>
      <c r="I14" s="85"/>
      <c r="J14" s="85"/>
      <c r="K14" s="85">
        <v>900</v>
      </c>
      <c r="L14" s="85">
        <v>163.80000000000001</v>
      </c>
      <c r="M14" s="82">
        <v>265000</v>
      </c>
      <c r="N14" s="82">
        <f>0.7*Lorry_Trips2025[[#This Row],[Gross Income]]</f>
        <v>185500</v>
      </c>
      <c r="O14" s="32">
        <f>Lorry_Trips2025[[#This Row],[Fuel(L)]]*Lorry_Trips2025[[#This Row],[Fuel Price (Per Litre)]]</f>
        <v>147420</v>
      </c>
      <c r="P14" s="32">
        <v>15000</v>
      </c>
      <c r="Q14" s="32"/>
      <c r="R14" s="32">
        <v>8000</v>
      </c>
      <c r="S14" s="32">
        <v>94000</v>
      </c>
      <c r="T14" s="153">
        <f>SUM(Lorry_Trips2025[[#This Row],[Fuel Cost]:[Other Expenses]])</f>
        <v>264420</v>
      </c>
      <c r="U14" s="103">
        <f>Lorry_Trips2025[[#This Row],[Gross Income]]-Lorry_Trips2025[[#This Row],[Total Expense]]</f>
        <v>580</v>
      </c>
      <c r="V14" s="93"/>
      <c r="W14" s="94"/>
      <c r="X14" s="93"/>
      <c r="Y14" s="29">
        <f>SUM(Lorry_Trips2025[[#This Row],[Total Expense]],Lorry_Trips2025[[#This Row],[Money Deposited at Bank]])</f>
        <v>264420</v>
      </c>
      <c r="Z14" s="96"/>
      <c r="AA14" s="95">
        <f>IFERROR(Lorry_Trips2025[[#This Row],[Total Expense]]/Lorry_Trips2025[[#This Row],[Standard Distance]],0)</f>
        <v>0</v>
      </c>
      <c r="AB14" s="106">
        <f>IFERROR(Lorry_Trips2025[[#This Row],[Net Income]]/Lorry_Trips2025[[#This Row],[Total Expense]],0)</f>
        <v>2.1934800695862641E-3</v>
      </c>
      <c r="AC14" s="109">
        <f>IFERROR(Lorry_Trips2025[[#This Row],[Standard Distance]]/Lorry_Trips2025[[#This Row],[Fuel Cost]],0)</f>
        <v>0</v>
      </c>
    </row>
    <row r="15" spans="2:29">
      <c r="B15" s="84" t="s">
        <v>39</v>
      </c>
      <c r="C15" s="84">
        <v>45765</v>
      </c>
      <c r="D15" s="85" t="s">
        <v>46</v>
      </c>
      <c r="E15" s="85" t="s">
        <v>40</v>
      </c>
      <c r="F15" s="85"/>
      <c r="G15" s="85"/>
      <c r="H15" s="85"/>
      <c r="I15" s="85">
        <v>1144</v>
      </c>
      <c r="J15" s="85"/>
      <c r="K15" s="85">
        <v>250</v>
      </c>
      <c r="L15" s="85">
        <v>162.5</v>
      </c>
      <c r="M15" s="82">
        <v>115200</v>
      </c>
      <c r="N15" s="82">
        <f>0.7*Lorry_Trips2025[[#This Row],[Gross Income]]</f>
        <v>80640</v>
      </c>
      <c r="O15" s="32">
        <f>Lorry_Trips2025[[#This Row],[Fuel(L)]]*Lorry_Trips2025[[#This Row],[Fuel Price (Per Litre)]]</f>
        <v>40625</v>
      </c>
      <c r="P15" s="32">
        <v>5000</v>
      </c>
      <c r="Q15" s="32"/>
      <c r="R15" s="32">
        <v>0</v>
      </c>
      <c r="S15" s="32"/>
      <c r="T15" s="153">
        <f>SUM(Lorry_Trips2025[[#This Row],[Fuel Cost]:[Other Expenses]])</f>
        <v>45625</v>
      </c>
      <c r="U15" s="103">
        <f>Lorry_Trips2025[[#This Row],[Gross Income]]-Lorry_Trips2025[[#This Row],[Total Expense]]</f>
        <v>69575</v>
      </c>
      <c r="V15" s="93"/>
      <c r="W15" s="94"/>
      <c r="X15" s="93"/>
      <c r="Y15" s="29">
        <f>SUM(Lorry_Trips2025[[#This Row],[Total Expense]],Lorry_Trips2025[[#This Row],[Money Deposited at Bank]])</f>
        <v>45625</v>
      </c>
      <c r="Z15" s="96"/>
      <c r="AA15" s="95">
        <f>IFERROR(Lorry_Trips2025[[#This Row],[Total Expense]]/Lorry_Trips2025[[#This Row],[Standard Distance]],0)</f>
        <v>39.881993006993007</v>
      </c>
      <c r="AB15" s="106">
        <f>IFERROR(Lorry_Trips2025[[#This Row],[Net Income]]/Lorry_Trips2025[[#This Row],[Total Expense]],0)</f>
        <v>1.524931506849315</v>
      </c>
      <c r="AC15" s="109">
        <f>IFERROR(Lorry_Trips2025[[#This Row],[Standard Distance]]/Lorry_Trips2025[[#This Row],[Fuel Cost]],0)</f>
        <v>2.8160000000000001E-2</v>
      </c>
    </row>
    <row r="16" spans="2:29">
      <c r="B16" s="86" t="s">
        <v>39</v>
      </c>
      <c r="C16" s="86">
        <v>45767</v>
      </c>
      <c r="D16" s="87" t="s">
        <v>40</v>
      </c>
      <c r="E16" s="87" t="s">
        <v>42</v>
      </c>
      <c r="F16" s="87"/>
      <c r="G16" s="87"/>
      <c r="H16" s="87"/>
      <c r="I16" s="87">
        <v>1144</v>
      </c>
      <c r="J16" s="87"/>
      <c r="K16" s="87">
        <v>900</v>
      </c>
      <c r="L16" s="87">
        <v>163.80000000000001</v>
      </c>
      <c r="M16" s="82">
        <v>260000</v>
      </c>
      <c r="N16" s="82">
        <f>0.7*Lorry_Trips2025[[#This Row],[Gross Income]]</f>
        <v>182000</v>
      </c>
      <c r="O16" s="32">
        <f>Lorry_Trips2025[[#This Row],[Fuel(L)]]*Lorry_Trips2025[[#This Row],[Fuel Price (Per Litre)]]</f>
        <v>147420</v>
      </c>
      <c r="P16" s="32">
        <v>15000</v>
      </c>
      <c r="Q16" s="32"/>
      <c r="R16" s="32">
        <v>7000</v>
      </c>
      <c r="S16" s="32"/>
      <c r="T16" s="153">
        <f>SUM(Lorry_Trips2025[[#This Row],[Fuel Cost]:[Other Expenses]])</f>
        <v>169420</v>
      </c>
      <c r="U16" s="103">
        <f>Lorry_Trips2025[[#This Row],[Gross Income]]-Lorry_Trips2025[[#This Row],[Total Expense]]</f>
        <v>90580</v>
      </c>
      <c r="V16" s="97"/>
      <c r="W16" s="98"/>
      <c r="X16" s="97"/>
      <c r="Y16" s="29">
        <f>SUM(Lorry_Trips2025[[#This Row],[Total Expense]],Lorry_Trips2025[[#This Row],[Money Deposited at Bank]])</f>
        <v>169420</v>
      </c>
      <c r="Z16" s="100"/>
      <c r="AA16" s="99">
        <f>IFERROR(Lorry_Trips2025[[#This Row],[Total Expense]]/Lorry_Trips2025[[#This Row],[Standard Distance]],0)</f>
        <v>148.0944055944056</v>
      </c>
      <c r="AB16" s="107">
        <f>IFERROR(Lorry_Trips2025[[#This Row],[Net Income]]/Lorry_Trips2025[[#This Row],[Total Expense]],0)</f>
        <v>0.53464762129618704</v>
      </c>
      <c r="AC16" s="110">
        <f>IFERROR(Lorry_Trips2025[[#This Row],[Standard Distance]]/Lorry_Trips2025[[#This Row],[Fuel Cost]],0)</f>
        <v>7.7601410934744269E-3</v>
      </c>
    </row>
    <row r="17" spans="2:29">
      <c r="B17" s="86" t="s">
        <v>39</v>
      </c>
      <c r="C17" s="86">
        <v>45772</v>
      </c>
      <c r="D17" s="87" t="s">
        <v>46</v>
      </c>
      <c r="E17" s="87" t="s">
        <v>40</v>
      </c>
      <c r="F17" s="87"/>
      <c r="G17" s="87"/>
      <c r="H17" s="87"/>
      <c r="I17" s="87">
        <v>1144</v>
      </c>
      <c r="J17" s="87"/>
      <c r="K17" s="87">
        <v>250</v>
      </c>
      <c r="L17" s="87">
        <v>162.5</v>
      </c>
      <c r="M17" s="82">
        <v>115200</v>
      </c>
      <c r="N17" s="82">
        <f>0.7*Lorry_Trips2025[[#This Row],[Gross Income]]</f>
        <v>80640</v>
      </c>
      <c r="O17" s="32">
        <f>Lorry_Trips2025[[#This Row],[Fuel(L)]]*Lorry_Trips2025[[#This Row],[Fuel Price (Per Litre)]]</f>
        <v>40625</v>
      </c>
      <c r="P17" s="32">
        <v>5000</v>
      </c>
      <c r="Q17" s="32"/>
      <c r="R17" s="32">
        <v>0</v>
      </c>
      <c r="S17" s="32">
        <v>54000</v>
      </c>
      <c r="T17" s="153">
        <f>SUM(Lorry_Trips2025[[#This Row],[Fuel Cost]:[Other Expenses]])</f>
        <v>99625</v>
      </c>
      <c r="U17" s="103">
        <f>Lorry_Trips2025[[#This Row],[Gross Income]]-Lorry_Trips2025[[#This Row],[Total Expense]]</f>
        <v>15575</v>
      </c>
      <c r="V17" s="103">
        <v>236000</v>
      </c>
      <c r="W17" s="116">
        <v>45771</v>
      </c>
      <c r="X17" s="103">
        <f>Lorry_Trips2025[[#This Row],[Money Deposited at Bank]]-SUM(U13:U17)</f>
        <v>-890</v>
      </c>
      <c r="Y17" s="29">
        <f>SUM(Lorry_Trips2025[[#This Row],[Total Expense]],Lorry_Trips2025[[#This Row],[Money Deposited at Bank]])</f>
        <v>335625</v>
      </c>
      <c r="Z17" s="100"/>
      <c r="AA17" s="99">
        <f>IFERROR(Lorry_Trips2025[[#This Row],[Total Expense]]/Lorry_Trips2025[[#This Row],[Standard Distance]],0)</f>
        <v>87.084790209790214</v>
      </c>
      <c r="AB17" s="107">
        <f>IFERROR(Lorry_Trips2025[[#This Row],[Net Income]]/Lorry_Trips2025[[#This Row],[Total Expense]],0)</f>
        <v>0.15633626097867001</v>
      </c>
      <c r="AC17" s="110">
        <f>IFERROR(Lorry_Trips2025[[#This Row],[Standard Distance]]/Lorry_Trips2025[[#This Row],[Fuel Cost]],0)</f>
        <v>2.8160000000000001E-2</v>
      </c>
    </row>
    <row r="18" spans="2:29">
      <c r="B18" s="86" t="s">
        <v>39</v>
      </c>
      <c r="C18" s="24">
        <v>45777</v>
      </c>
      <c r="D18" s="9" t="s">
        <v>40</v>
      </c>
      <c r="E18" s="9" t="s">
        <v>42</v>
      </c>
      <c r="F18" s="9"/>
      <c r="G18" s="9"/>
      <c r="H18" s="9"/>
      <c r="I18" s="9">
        <v>1144</v>
      </c>
      <c r="J18" s="9"/>
      <c r="K18" s="9">
        <v>900</v>
      </c>
      <c r="L18" s="9">
        <v>161.30000000000001</v>
      </c>
      <c r="M18" s="80">
        <v>280000</v>
      </c>
      <c r="N18" s="82">
        <f>0.7*Lorry_Trips2025[[#This Row],[Gross Income]]</f>
        <v>196000</v>
      </c>
      <c r="O18" s="32">
        <f>Lorry_Trips2025[[#This Row],[Fuel(L)]]*Lorry_Trips2025[[#This Row],[Fuel Price (Per Litre)]]</f>
        <v>145170</v>
      </c>
      <c r="P18" s="33">
        <v>15000</v>
      </c>
      <c r="Q18" s="33"/>
      <c r="R18" s="33">
        <v>7000</v>
      </c>
      <c r="S18" s="33">
        <v>20000</v>
      </c>
      <c r="T18" s="153">
        <f>SUM(Lorry_Trips2025[[#This Row],[Fuel Cost]:[Other Expenses]])</f>
        <v>187170</v>
      </c>
      <c r="U18" s="77">
        <f>Lorry_Trips2025[[#This Row],[Gross Income]]-Lorry_Trips2025[[#This Row],[Total Expense]]</f>
        <v>92830</v>
      </c>
      <c r="V18" s="78"/>
      <c r="W18" s="92"/>
      <c r="X18" s="34"/>
      <c r="Y18" s="29">
        <f>SUM(Lorry_Trips2025[[#This Row],[Total Expense]],Lorry_Trips2025[[#This Row],[Money Deposited at Bank]])</f>
        <v>187170</v>
      </c>
      <c r="Z18" s="38"/>
      <c r="AA18" s="11">
        <f>IFERROR(Lorry_Trips2025[[#This Row],[Total Expense]]/Lorry_Trips2025[[#This Row],[Standard Distance]],0)</f>
        <v>163.61013986013987</v>
      </c>
      <c r="AB18" s="105">
        <f>IFERROR(Lorry_Trips2025[[#This Row],[Net Income]]/Lorry_Trips2025[[#This Row],[Total Expense]],0)</f>
        <v>0.49596623390500616</v>
      </c>
      <c r="AC18" s="108">
        <f>IFERROR(Lorry_Trips2025[[#This Row],[Standard Distance]]/Lorry_Trips2025[[#This Row],[Fuel Cost]],0)</f>
        <v>7.8804160639250539E-3</v>
      </c>
    </row>
    <row r="19" spans="2:29" ht="15.75" customHeight="1">
      <c r="B19" s="86" t="s">
        <v>39</v>
      </c>
      <c r="C19" s="25">
        <v>45787</v>
      </c>
      <c r="D19" s="9" t="s">
        <v>42</v>
      </c>
      <c r="E19" s="9" t="s">
        <v>47</v>
      </c>
      <c r="F19" s="9"/>
      <c r="G19" s="9"/>
      <c r="H19" s="9"/>
      <c r="I19" s="9"/>
      <c r="J19" s="9"/>
      <c r="K19" s="9">
        <v>200</v>
      </c>
      <c r="L19" s="9">
        <v>163.19999999999999</v>
      </c>
      <c r="M19" s="80">
        <v>80000</v>
      </c>
      <c r="N19" s="82">
        <f>0.7*Lorry_Trips2025[[#This Row],[Gross Income]]</f>
        <v>56000</v>
      </c>
      <c r="O19" s="32">
        <f>Lorry_Trips2025[[#This Row],[Fuel(L)]]*Lorry_Trips2025[[#This Row],[Fuel Price (Per Litre)]]</f>
        <v>32639.999999999996</v>
      </c>
      <c r="P19" s="33">
        <v>5000</v>
      </c>
      <c r="Q19" s="33"/>
      <c r="R19" s="33">
        <v>0</v>
      </c>
      <c r="S19" s="33"/>
      <c r="T19" s="153">
        <f>SUM(Lorry_Trips2025[[#This Row],[Fuel Cost]:[Other Expenses]])</f>
        <v>37640</v>
      </c>
      <c r="U19" s="77">
        <f>Lorry_Trips2025[[#This Row],[Gross Income]]-Lorry_Trips2025[[#This Row],[Total Expense]]</f>
        <v>42360</v>
      </c>
      <c r="V19" s="78"/>
      <c r="W19" s="92"/>
      <c r="X19" s="35"/>
      <c r="Y19" s="29">
        <f>SUM(Lorry_Trips2025[[#This Row],[Total Expense]],Lorry_Trips2025[[#This Row],[Money Deposited at Bank]])</f>
        <v>37640</v>
      </c>
      <c r="Z19" s="11"/>
      <c r="AA19" s="10">
        <f>IFERROR(Lorry_Trips2025[[#This Row],[Total Expense]]/Lorry_Trips2025[[#This Row],[Standard Distance]],0)</f>
        <v>0</v>
      </c>
      <c r="AB19" s="105">
        <f>IFERROR(Lorry_Trips2025[[#This Row],[Net Income]]/Lorry_Trips2025[[#This Row],[Total Expense]],0)</f>
        <v>1.1253985122210415</v>
      </c>
      <c r="AC19" s="108">
        <f>IFERROR(Lorry_Trips2025[[#This Row],[Standard Distance]]/Lorry_Trips2025[[#This Row],[Fuel Cost]],0)</f>
        <v>0</v>
      </c>
    </row>
    <row r="20" spans="2:29" ht="15.75" customHeight="1">
      <c r="B20" s="86" t="s">
        <v>39</v>
      </c>
      <c r="C20" s="25">
        <v>45793</v>
      </c>
      <c r="D20" s="9" t="s">
        <v>40</v>
      </c>
      <c r="E20" s="9" t="s">
        <v>42</v>
      </c>
      <c r="F20" s="9"/>
      <c r="G20" s="9"/>
      <c r="H20" s="9"/>
      <c r="I20" s="9"/>
      <c r="J20" s="9"/>
      <c r="K20" s="9">
        <v>900</v>
      </c>
      <c r="L20" s="9">
        <v>161.30000000000001</v>
      </c>
      <c r="M20" s="80">
        <v>265000</v>
      </c>
      <c r="N20" s="82">
        <f>0.7*Lorry_Trips2025[[#This Row],[Gross Income]]</f>
        <v>185500</v>
      </c>
      <c r="O20" s="32">
        <f>Lorry_Trips2025[[#This Row],[Fuel(L)]]*Lorry_Trips2025[[#This Row],[Fuel Price (Per Litre)]]</f>
        <v>145170</v>
      </c>
      <c r="P20" s="33">
        <v>15000</v>
      </c>
      <c r="Q20" s="33"/>
      <c r="R20" s="33">
        <v>7000</v>
      </c>
      <c r="S20" s="33"/>
      <c r="T20" s="153">
        <f>SUM(Lorry_Trips2025[[#This Row],[Fuel Cost]:[Other Expenses]])</f>
        <v>167170</v>
      </c>
      <c r="U20" s="77">
        <f>Lorry_Trips2025[[#This Row],[Gross Income]]-Lorry_Trips2025[[#This Row],[Total Expense]]</f>
        <v>97830</v>
      </c>
      <c r="V20" s="78">
        <v>220000</v>
      </c>
      <c r="W20" s="115">
        <v>45799</v>
      </c>
      <c r="X20" s="78">
        <f>Lorry_Trips2025[[#This Row],[Money Deposited at Bank]]-SUM(U18:U20)</f>
        <v>-13020</v>
      </c>
      <c r="Y20" s="29">
        <f>SUM(Lorry_Trips2025[[#This Row],[Total Expense]],Lorry_Trips2025[[#This Row],[Money Deposited at Bank]])</f>
        <v>387170</v>
      </c>
      <c r="Z20" s="11"/>
      <c r="AA20" s="10">
        <f>IFERROR(Lorry_Trips2025[[#This Row],[Total Expense]]/Lorry_Trips2025[[#This Row],[Standard Distance]],0)</f>
        <v>0</v>
      </c>
      <c r="AB20" s="105">
        <f>IFERROR(Lorry_Trips2025[[#This Row],[Net Income]]/Lorry_Trips2025[[#This Row],[Total Expense]],0)</f>
        <v>0.58521265777352394</v>
      </c>
      <c r="AC20" s="108">
        <f>IFERROR(Lorry_Trips2025[[#This Row],[Standard Distance]]/Lorry_Trips2025[[#This Row],[Fuel Cost]],0)</f>
        <v>0</v>
      </c>
    </row>
    <row r="21" spans="2:29" ht="15.75" customHeight="1">
      <c r="B21" s="86" t="s">
        <v>39</v>
      </c>
      <c r="C21" s="25">
        <v>45798</v>
      </c>
      <c r="D21" s="9" t="s">
        <v>42</v>
      </c>
      <c r="E21" s="9" t="s">
        <v>40</v>
      </c>
      <c r="F21" s="9"/>
      <c r="G21" s="9"/>
      <c r="H21" s="9"/>
      <c r="I21" s="9"/>
      <c r="J21" s="9"/>
      <c r="K21" s="9">
        <v>280</v>
      </c>
      <c r="L21" s="9">
        <v>163.19999999999999</v>
      </c>
      <c r="M21" s="80">
        <v>115200</v>
      </c>
      <c r="N21" s="82">
        <f>0.7*Lorry_Trips2025[[#This Row],[Gross Income]]</f>
        <v>80640</v>
      </c>
      <c r="O21" s="32">
        <f>Lorry_Trips2025[[#This Row],[Fuel(L)]]*Lorry_Trips2025[[#This Row],[Fuel Price (Per Litre)]]</f>
        <v>45696</v>
      </c>
      <c r="P21" s="33">
        <v>5000</v>
      </c>
      <c r="Q21" s="33"/>
      <c r="R21" s="33">
        <v>0</v>
      </c>
      <c r="S21" s="33">
        <v>24000</v>
      </c>
      <c r="T21" s="153">
        <f>SUM(Lorry_Trips2025[[#This Row],[Fuel Cost]:[Other Expenses]])</f>
        <v>74696</v>
      </c>
      <c r="U21" s="113">
        <f>Lorry_Trips2025[[#This Row],[Gross Income]]-Lorry_Trips2025[[#This Row],[Total Expense]]</f>
        <v>40504</v>
      </c>
      <c r="V21" s="112"/>
      <c r="W21" s="114"/>
      <c r="X21" s="35"/>
      <c r="Y21" s="29">
        <f>SUM(Lorry_Trips2025[[#This Row],[Total Expense]],Lorry_Trips2025[[#This Row],[Money Deposited at Bank]])</f>
        <v>74696</v>
      </c>
      <c r="Z21" s="11"/>
      <c r="AA21" s="10">
        <f>IFERROR(Lorry_Trips2025[[#This Row],[Total Expense]]/Lorry_Trips2025[[#This Row],[Standard Distance]],0)</f>
        <v>0</v>
      </c>
      <c r="AB21" s="105">
        <f>IFERROR(Lorry_Trips2025[[#This Row],[Net Income]]/Lorry_Trips2025[[#This Row],[Total Expense]],0)</f>
        <v>0.54225125843418653</v>
      </c>
      <c r="AC21" s="108">
        <f>IFERROR(Lorry_Trips2025[[#This Row],[Standard Distance]]/Lorry_Trips2025[[#This Row],[Fuel Cost]],0)</f>
        <v>0</v>
      </c>
    </row>
    <row r="22" spans="2:29" ht="15.75" customHeight="1">
      <c r="B22" s="86" t="s">
        <v>39</v>
      </c>
      <c r="C22" s="25">
        <v>45800</v>
      </c>
      <c r="D22" s="9" t="s">
        <v>40</v>
      </c>
      <c r="E22" s="9" t="s">
        <v>42</v>
      </c>
      <c r="F22" s="9"/>
      <c r="G22" s="9"/>
      <c r="H22" s="9"/>
      <c r="I22" s="9"/>
      <c r="J22" s="9"/>
      <c r="K22" s="9">
        <v>900</v>
      </c>
      <c r="L22" s="9">
        <v>161.30000000000001</v>
      </c>
      <c r="M22" s="80">
        <v>270000</v>
      </c>
      <c r="N22" s="82">
        <f>0.7*Lorry_Trips2025[[#This Row],[Gross Income]]</f>
        <v>189000</v>
      </c>
      <c r="O22" s="32">
        <f>Lorry_Trips2025[[#This Row],[Fuel(L)]]*Lorry_Trips2025[[#This Row],[Fuel Price (Per Litre)]]</f>
        <v>145170</v>
      </c>
      <c r="P22" s="33">
        <v>15000</v>
      </c>
      <c r="Q22" s="33"/>
      <c r="R22" s="33">
        <v>7000</v>
      </c>
      <c r="S22" s="33"/>
      <c r="T22" s="153">
        <f>SUM(Lorry_Trips2025[[#This Row],[Fuel Cost]:[Other Expenses]])</f>
        <v>167170</v>
      </c>
      <c r="U22" s="113">
        <f>Lorry_Trips2025[[#This Row],[Gross Income]]-Lorry_Trips2025[[#This Row],[Total Expense]]</f>
        <v>102830</v>
      </c>
      <c r="V22" s="112"/>
      <c r="W22" s="114"/>
      <c r="X22" s="35"/>
      <c r="Y22" s="29">
        <f>SUM(Lorry_Trips2025[[#This Row],[Total Expense]],Lorry_Trips2025[[#This Row],[Money Deposited at Bank]])</f>
        <v>167170</v>
      </c>
      <c r="Z22" s="11"/>
      <c r="AA22" s="10">
        <f>IFERROR(Lorry_Trips2025[[#This Row],[Total Expense]]/Lorry_Trips2025[[#This Row],[Standard Distance]],0)</f>
        <v>0</v>
      </c>
      <c r="AB22" s="105">
        <f>IFERROR(Lorry_Trips2025[[#This Row],[Net Income]]/Lorry_Trips2025[[#This Row],[Total Expense]],0)</f>
        <v>0.61512233056170362</v>
      </c>
      <c r="AC22" s="108">
        <f>IFERROR(Lorry_Trips2025[[#This Row],[Standard Distance]]/Lorry_Trips2025[[#This Row],[Fuel Cost]],0)</f>
        <v>0</v>
      </c>
    </row>
    <row r="23" spans="2:29" ht="15.75" customHeight="1">
      <c r="B23" s="86" t="s">
        <v>39</v>
      </c>
      <c r="C23" s="25"/>
      <c r="D23" s="9" t="s">
        <v>42</v>
      </c>
      <c r="E23" s="9" t="s">
        <v>40</v>
      </c>
      <c r="F23" s="9"/>
      <c r="G23" s="9"/>
      <c r="H23" s="9"/>
      <c r="I23" s="9"/>
      <c r="J23" s="9"/>
      <c r="K23" s="9">
        <v>280</v>
      </c>
      <c r="L23" s="9">
        <v>163.19999999999999</v>
      </c>
      <c r="M23" s="80">
        <v>115200</v>
      </c>
      <c r="N23" s="82">
        <f>0.7*Lorry_Trips2025[[#This Row],[Gross Income]]</f>
        <v>80640</v>
      </c>
      <c r="O23" s="32">
        <f>Lorry_Trips2025[[#This Row],[Fuel(L)]]*Lorry_Trips2025[[#This Row],[Fuel Price (Per Litre)]]</f>
        <v>45696</v>
      </c>
      <c r="P23" s="33">
        <v>5000</v>
      </c>
      <c r="Q23" s="33"/>
      <c r="R23" s="33">
        <v>0</v>
      </c>
      <c r="S23" s="33">
        <v>0</v>
      </c>
      <c r="T23" s="153">
        <f>SUM(Lorry_Trips2025[[#This Row],[Fuel Cost]:[Other Expenses]])</f>
        <v>50696</v>
      </c>
      <c r="U23" s="113">
        <f>Lorry_Trips2025[[#This Row],[Gross Income]]-Lorry_Trips2025[[#This Row],[Total Expense]]</f>
        <v>64504</v>
      </c>
      <c r="V23" s="112">
        <v>194000</v>
      </c>
      <c r="W23" s="114">
        <v>45812</v>
      </c>
      <c r="X23" s="112">
        <f>Lorry_Trips2025[[#This Row],[Money Deposited at Bank]]-SUM(U21:U23)</f>
        <v>-13838</v>
      </c>
      <c r="Y23" s="29">
        <f>SUM(Lorry_Trips2025[[#This Row],[Total Expense]],Lorry_Trips2025[[#This Row],[Money Deposited at Bank]])</f>
        <v>244696</v>
      </c>
      <c r="Z23" s="11"/>
      <c r="AA23" s="10">
        <f>IFERROR(Lorry_Trips2025[[#This Row],[Total Expense]]/Lorry_Trips2025[[#This Row],[Standard Distance]],0)</f>
        <v>0</v>
      </c>
      <c r="AB23" s="105">
        <f>IFERROR(Lorry_Trips2025[[#This Row],[Net Income]]/Lorry_Trips2025[[#This Row],[Total Expense]],0)</f>
        <v>1.272368628688654</v>
      </c>
      <c r="AC23" s="108">
        <f>IFERROR(Lorry_Trips2025[[#This Row],[Standard Distance]]/Lorry_Trips2025[[#This Row],[Fuel Cost]],0)</f>
        <v>0</v>
      </c>
    </row>
    <row r="24" spans="2:29" ht="15.75" customHeight="1">
      <c r="B24" s="86" t="s">
        <v>39</v>
      </c>
      <c r="C24" s="25">
        <v>45811</v>
      </c>
      <c r="D24" s="9" t="s">
        <v>40</v>
      </c>
      <c r="E24" s="9" t="s">
        <v>42</v>
      </c>
      <c r="F24" s="9"/>
      <c r="G24" s="9"/>
      <c r="H24" s="9"/>
      <c r="I24" s="9"/>
      <c r="J24" s="9"/>
      <c r="K24" s="9">
        <v>900</v>
      </c>
      <c r="L24" s="9">
        <v>161.30000000000001</v>
      </c>
      <c r="M24" s="119">
        <v>270000</v>
      </c>
      <c r="N24" s="82">
        <f>0.7*Lorry_Trips2025[[#This Row],[Gross Income]]</f>
        <v>189000</v>
      </c>
      <c r="O24" s="32">
        <f>Lorry_Trips2025[[#This Row],[Fuel(L)]]*Lorry_Trips2025[[#This Row],[Fuel Price (Per Litre)]]</f>
        <v>145170</v>
      </c>
      <c r="P24" s="33">
        <v>15000</v>
      </c>
      <c r="Q24" s="33"/>
      <c r="R24" s="33">
        <v>7000</v>
      </c>
      <c r="S24" s="33">
        <v>20000</v>
      </c>
      <c r="T24" s="153">
        <f>SUM(Lorry_Trips2025[[#This Row],[Fuel Cost]:[Other Expenses]])</f>
        <v>187170</v>
      </c>
      <c r="U24" s="28">
        <f>Lorry_Trips2025[[#This Row],[Gross Income]]-Lorry_Trips2025[[#This Row],[Total Expense]]</f>
        <v>82830</v>
      </c>
      <c r="V24" s="78"/>
      <c r="W24" s="115"/>
      <c r="X24" s="112"/>
      <c r="Y24" s="29">
        <f>SUM(Lorry_Trips2025[[#This Row],[Total Expense]],Lorry_Trips2025[[#This Row],[Money Deposited at Bank]])</f>
        <v>187170</v>
      </c>
      <c r="Z24" s="11"/>
      <c r="AA24" s="10">
        <f>IFERROR(Lorry_Trips2025[[#This Row],[Total Expense]]/Lorry_Trips2025[[#This Row],[Standard Distance]],0)</f>
        <v>0</v>
      </c>
      <c r="AB24" s="105">
        <f>IFERROR(Lorry_Trips2025[[#This Row],[Net Income]]/Lorry_Trips2025[[#This Row],[Total Expense]],0)</f>
        <v>0.44253886840839879</v>
      </c>
      <c r="AC24" s="108">
        <f>IFERROR(Lorry_Trips2025[[#This Row],[Standard Distance]]/Lorry_Trips2025[[#This Row],[Fuel Cost]],0)</f>
        <v>0</v>
      </c>
    </row>
    <row r="25" spans="2:29" ht="15.75" customHeight="1">
      <c r="B25" s="86" t="s">
        <v>39</v>
      </c>
      <c r="C25" s="24">
        <v>45825</v>
      </c>
      <c r="D25" s="6" t="s">
        <v>40</v>
      </c>
      <c r="E25" s="6" t="s">
        <v>42</v>
      </c>
      <c r="F25" s="6"/>
      <c r="G25" s="6"/>
      <c r="H25" s="6"/>
      <c r="I25" s="6"/>
      <c r="J25" s="6"/>
      <c r="K25" s="6">
        <v>900</v>
      </c>
      <c r="L25" s="6">
        <v>161.30000000000001</v>
      </c>
      <c r="M25" s="119">
        <v>270000</v>
      </c>
      <c r="N25" s="82">
        <f>0.7*Lorry_Trips2025[[#This Row],[Gross Income]]</f>
        <v>189000</v>
      </c>
      <c r="O25" s="32">
        <f>Lorry_Trips2025[[#This Row],[Fuel(L)]]*Lorry_Trips2025[[#This Row],[Fuel Price (Per Litre)]]</f>
        <v>145170</v>
      </c>
      <c r="P25" s="33">
        <v>15000</v>
      </c>
      <c r="Q25" s="33"/>
      <c r="R25" s="33">
        <v>7000</v>
      </c>
      <c r="S25" s="33">
        <v>38500</v>
      </c>
      <c r="T25" s="153">
        <f>SUM(Lorry_Trips2025[[#This Row],[Fuel Cost]:[Other Expenses]])</f>
        <v>205670</v>
      </c>
      <c r="U25" s="28">
        <f>Lorry_Trips2025[[#This Row],[Gross Income]]-Lorry_Trips2025[[#This Row],[Total Expense]]</f>
        <v>64330</v>
      </c>
      <c r="V25" s="78"/>
      <c r="W25" s="118"/>
      <c r="X25" s="112"/>
      <c r="Y25" s="29">
        <f>SUM(Lorry_Trips2025[[#This Row],[Total Expense]],Lorry_Trips2025[[#This Row],[Money Deposited at Bank]])</f>
        <v>205670</v>
      </c>
      <c r="Z25" s="8"/>
      <c r="AA25" s="7">
        <f>IFERROR(Lorry_Trips2025[[#This Row],[Total Expense]]/Lorry_Trips2025[[#This Row],[Standard Distance]],0)</f>
        <v>0</v>
      </c>
      <c r="AB25" s="105">
        <f>IFERROR(Lorry_Trips2025[[#This Row],[Net Income]]/Lorry_Trips2025[[#This Row],[Total Expense]],0)</f>
        <v>0.31278261292361548</v>
      </c>
      <c r="AC25" s="108">
        <f>IFERROR(Lorry_Trips2025[[#This Row],[Standard Distance]]/Lorry_Trips2025[[#This Row],[Fuel Cost]],0)</f>
        <v>0</v>
      </c>
    </row>
    <row r="26" spans="2:29" ht="15.75" customHeight="1">
      <c r="B26" s="86" t="s">
        <v>39</v>
      </c>
      <c r="C26" s="24"/>
      <c r="D26" s="6" t="s">
        <v>42</v>
      </c>
      <c r="E26" s="6" t="s">
        <v>40</v>
      </c>
      <c r="F26" s="6"/>
      <c r="G26" s="6"/>
      <c r="H26" s="6"/>
      <c r="I26" s="6"/>
      <c r="J26" s="6"/>
      <c r="K26" s="6">
        <v>280</v>
      </c>
      <c r="L26" s="6">
        <v>163.19999999999999</v>
      </c>
      <c r="M26" s="119">
        <v>115200</v>
      </c>
      <c r="N26" s="82">
        <f>0.7*Lorry_Trips2025[[#This Row],[Gross Income]]</f>
        <v>80640</v>
      </c>
      <c r="O26" s="32">
        <f>Lorry_Trips2025[[#This Row],[Fuel(L)]]*Lorry_Trips2025[[#This Row],[Fuel Price (Per Litre)]]</f>
        <v>45696</v>
      </c>
      <c r="P26" s="33">
        <v>5000</v>
      </c>
      <c r="Q26" s="33"/>
      <c r="R26" s="33">
        <v>0</v>
      </c>
      <c r="S26" s="33">
        <v>0</v>
      </c>
      <c r="T26" s="153">
        <f>SUM(Lorry_Trips2025[[#This Row],[Fuel Cost]:[Other Expenses]])</f>
        <v>50696</v>
      </c>
      <c r="U26" s="28">
        <f>Lorry_Trips2025[[#This Row],[Gross Income]]-Lorry_Trips2025[[#This Row],[Total Expense]]</f>
        <v>64504</v>
      </c>
      <c r="V26" s="30">
        <v>165000</v>
      </c>
      <c r="W26" s="121">
        <v>45838</v>
      </c>
      <c r="X26" s="122">
        <f>Lorry_Trips2025[[#This Row],[Money Deposited at Bank]]-SUM(U24:U26)</f>
        <v>-46664</v>
      </c>
      <c r="Y26" s="29">
        <f>SUM(Lorry_Trips2025[[#This Row],[Total Expense]],Lorry_Trips2025[[#This Row],[Money Deposited at Bank]])</f>
        <v>215696</v>
      </c>
      <c r="Z26" s="8"/>
      <c r="AA26" s="7">
        <f>IFERROR(Lorry_Trips2025[[#This Row],[Total Expense]]/Lorry_Trips2025[[#This Row],[Standard Distance]],0)</f>
        <v>0</v>
      </c>
      <c r="AB26" s="105">
        <f>IFERROR(Lorry_Trips2025[[#This Row],[Net Income]]/Lorry_Trips2025[[#This Row],[Total Expense]],0)</f>
        <v>1.272368628688654</v>
      </c>
      <c r="AC26" s="108">
        <f>IFERROR(Lorry_Trips2025[[#This Row],[Standard Distance]]/Lorry_Trips2025[[#This Row],[Fuel Cost]],0)</f>
        <v>0</v>
      </c>
    </row>
    <row r="27" spans="2:29" ht="15.75" customHeight="1">
      <c r="B27" s="86" t="s">
        <v>39</v>
      </c>
      <c r="C27" s="24">
        <v>45836</v>
      </c>
      <c r="D27" s="6" t="s">
        <v>40</v>
      </c>
      <c r="E27" s="6" t="s">
        <v>42</v>
      </c>
      <c r="F27" s="6"/>
      <c r="G27" s="6"/>
      <c r="H27" s="6"/>
      <c r="I27" s="6"/>
      <c r="J27" s="6"/>
      <c r="K27" s="6">
        <v>900</v>
      </c>
      <c r="L27" s="6">
        <v>161.30000000000001</v>
      </c>
      <c r="M27" s="119">
        <v>270000</v>
      </c>
      <c r="N27" s="82">
        <f>0.7*Lorry_Trips2025[[#This Row],[Gross Income]]</f>
        <v>189000</v>
      </c>
      <c r="O27" s="32">
        <f>Lorry_Trips2025[[#This Row],[Fuel(L)]]*Lorry_Trips2025[[#This Row],[Fuel Price (Per Litre)]]</f>
        <v>145170</v>
      </c>
      <c r="P27" s="33">
        <v>15000</v>
      </c>
      <c r="Q27" s="33"/>
      <c r="R27" s="33">
        <v>7000</v>
      </c>
      <c r="S27" s="33">
        <v>0</v>
      </c>
      <c r="T27" s="153">
        <f>SUM(Lorry_Trips2025[[#This Row],[Fuel Cost]:[Other Expenses]])</f>
        <v>167170</v>
      </c>
      <c r="U27" s="77">
        <f>Lorry_Trips2025[[#This Row],[Gross Income]]-Lorry_Trips2025[[#This Row],[Total Expense]]</f>
        <v>102830</v>
      </c>
      <c r="V27" s="112">
        <v>100000</v>
      </c>
      <c r="W27" s="117">
        <v>45846</v>
      </c>
      <c r="X27" s="112">
        <f>Lorry_Trips2025[[#This Row],[Money Deposited at Bank]]-SUM(U27)</f>
        <v>-2830</v>
      </c>
      <c r="Y27" s="29">
        <f>SUM(Lorry_Trips2025[[#This Row],[Total Expense]],Lorry_Trips2025[[#This Row],[Money Deposited at Bank]])</f>
        <v>267170</v>
      </c>
      <c r="Z27" s="8"/>
      <c r="AA27" s="7">
        <f>IFERROR(Lorry_Trips2025[[#This Row],[Total Expense]]/Lorry_Trips2025[[#This Row],[Standard Distance]],0)</f>
        <v>0</v>
      </c>
      <c r="AB27" s="105">
        <f>IFERROR(Lorry_Trips2025[[#This Row],[Net Income]]/Lorry_Trips2025[[#This Row],[Total Expense]],0)</f>
        <v>0.61512233056170362</v>
      </c>
      <c r="AC27" s="108">
        <f>IFERROR(Lorry_Trips2025[[#This Row],[Standard Distance]]/Lorry_Trips2025[[#This Row],[Fuel Cost]],0)</f>
        <v>0</v>
      </c>
    </row>
    <row r="28" spans="2:29" ht="15.75" customHeight="1">
      <c r="B28" s="86" t="s">
        <v>39</v>
      </c>
      <c r="C28" s="24">
        <v>45845</v>
      </c>
      <c r="D28" s="6" t="s">
        <v>40</v>
      </c>
      <c r="E28" s="6" t="s">
        <v>42</v>
      </c>
      <c r="F28" s="6"/>
      <c r="G28" s="6"/>
      <c r="H28" s="6"/>
      <c r="I28" s="6"/>
      <c r="J28" s="6"/>
      <c r="K28" s="6">
        <v>900</v>
      </c>
      <c r="L28" s="6">
        <v>161.19999999999999</v>
      </c>
      <c r="M28" s="120">
        <v>270000</v>
      </c>
      <c r="N28" s="82">
        <f>0.7*Lorry_Trips2025[[#This Row],[Gross Income]]</f>
        <v>189000</v>
      </c>
      <c r="O28" s="32">
        <f>Lorry_Trips2025[[#This Row],[Fuel(L)]]*Lorry_Trips2025[[#This Row],[Fuel Price (Per Litre)]]</f>
        <v>145080</v>
      </c>
      <c r="P28" s="32">
        <v>15000</v>
      </c>
      <c r="Q28" s="32"/>
      <c r="R28" s="104">
        <v>7000</v>
      </c>
      <c r="S28" s="32"/>
      <c r="T28" s="153"/>
      <c r="U28" s="144"/>
      <c r="V28" s="101">
        <v>130500</v>
      </c>
      <c r="W28" s="102">
        <v>45856</v>
      </c>
      <c r="X28" s="112">
        <f>Lorry_Trips2025[[#This Row],[Money Deposited at Bank]]-SUM(U28)</f>
        <v>130500</v>
      </c>
      <c r="Y28" s="29">
        <f>SUM(Lorry_Trips2025[[#This Row],[Total Expense]],Lorry_Trips2025[[#This Row],[Money Deposited at Bank]])</f>
        <v>130500</v>
      </c>
      <c r="Z28" s="8"/>
      <c r="AA28" s="7">
        <f>IFERROR(Lorry_Trips2025[[#This Row],[Total Expense]]/Lorry_Trips2025[[#This Row],[Standard Distance]],0)</f>
        <v>0</v>
      </c>
      <c r="AB28" s="105">
        <f>IFERROR(Lorry_Trips2025[[#This Row],[Net Income]]/Lorry_Trips2025[[#This Row],[Total Expense]],0)</f>
        <v>0</v>
      </c>
      <c r="AC28" s="108">
        <f>IFERROR(Lorry_Trips2025[[#This Row],[Standard Distance]]/Lorry_Trips2025[[#This Row],[Fuel Cost]],0)</f>
        <v>0</v>
      </c>
    </row>
    <row r="29" spans="2:29" ht="15.75" customHeight="1">
      <c r="B29" s="86" t="s">
        <v>39</v>
      </c>
      <c r="C29" s="25">
        <v>45852</v>
      </c>
      <c r="D29" s="9" t="s">
        <v>42</v>
      </c>
      <c r="E29" s="9" t="s">
        <v>40</v>
      </c>
      <c r="F29" s="9"/>
      <c r="G29" s="9"/>
      <c r="H29" s="9"/>
      <c r="I29" s="9"/>
      <c r="J29" s="9"/>
      <c r="K29" s="9">
        <v>280</v>
      </c>
      <c r="L29" s="9">
        <v>163.19999999999999</v>
      </c>
      <c r="M29" s="119">
        <v>115200</v>
      </c>
      <c r="N29" s="82">
        <f>0.7*Lorry_Trips2025[[#This Row],[Gross Income]]</f>
        <v>80640</v>
      </c>
      <c r="O29" s="32">
        <f>Lorry_Trips2025[[#This Row],[Fuel(L)]]*Lorry_Trips2025[[#This Row],[Fuel Price (Per Litre)]]</f>
        <v>45696</v>
      </c>
      <c r="P29" s="33">
        <v>5000</v>
      </c>
      <c r="Q29" s="33"/>
      <c r="R29" s="104">
        <v>0</v>
      </c>
      <c r="S29" s="33"/>
      <c r="T29" s="154"/>
      <c r="U29" s="144"/>
      <c r="V29" s="101"/>
      <c r="W29" s="102"/>
      <c r="X29" s="112">
        <f>Lorry_Trips2025[[#This Row],[Money Deposited at Bank]]-SUM(U29)</f>
        <v>0</v>
      </c>
      <c r="Y29" s="29">
        <f>SUM(Lorry_Trips2025[[#This Row],[Total Expense]],Lorry_Trips2025[[#This Row],[Money Deposited at Bank]])</f>
        <v>0</v>
      </c>
      <c r="Z29" s="11"/>
      <c r="AA29" s="10">
        <f>IFERROR(Lorry_Trips2025[[#This Row],[Total Expense]]/Lorry_Trips2025[[#This Row],[Standard Distance]],0)</f>
        <v>0</v>
      </c>
      <c r="AB29" s="105">
        <f>IFERROR(Lorry_Trips2025[[#This Row],[Net Income]]/Lorry_Trips2025[[#This Row],[Total Expense]],0)</f>
        <v>0</v>
      </c>
      <c r="AC29" s="108">
        <f>IFERROR(Lorry_Trips2025[[#This Row],[Standard Distance]]/Lorry_Trips2025[[#This Row],[Fuel Cost]],0)</f>
        <v>0</v>
      </c>
    </row>
    <row r="30" spans="2:29" ht="15.75" customHeight="1">
      <c r="B30" s="89" t="s">
        <v>39</v>
      </c>
      <c r="C30" s="25">
        <v>45854</v>
      </c>
      <c r="D30" s="9" t="s">
        <v>40</v>
      </c>
      <c r="E30" s="9" t="s">
        <v>42</v>
      </c>
      <c r="F30" s="9"/>
      <c r="G30" s="9"/>
      <c r="H30" s="9"/>
      <c r="I30" s="9"/>
      <c r="J30" s="9"/>
      <c r="K30" s="9">
        <v>900</v>
      </c>
      <c r="L30" s="127">
        <v>168.3</v>
      </c>
      <c r="M30" s="120">
        <v>270000</v>
      </c>
      <c r="N30" s="128">
        <f>0.7*Lorry_Trips2025[[#This Row],[Gross Income]]</f>
        <v>189000</v>
      </c>
      <c r="O30" s="32">
        <f>Lorry_Trips2025[[#This Row],[Fuel(L)]]*Lorry_Trips2025[[#This Row],[Fuel Price (Per Litre)]]</f>
        <v>151470</v>
      </c>
      <c r="P30" s="33">
        <v>15000</v>
      </c>
      <c r="Q30" s="33"/>
      <c r="R30" s="33">
        <v>7000</v>
      </c>
      <c r="S30" s="33">
        <v>9500</v>
      </c>
      <c r="T30" s="154">
        <f>SUM(Lorry_Trips2025[[#This Row],[Fuel Cost]:[Other Expenses]])</f>
        <v>182970</v>
      </c>
      <c r="U30" s="145">
        <f>Lorry_Trips2025[[#This Row],[Gross Income]]-Lorry_Trips2025[[#This Row],[Total Expense]]</f>
        <v>87030</v>
      </c>
      <c r="V30" s="146">
        <v>130000</v>
      </c>
      <c r="W30" s="147">
        <v>45870</v>
      </c>
      <c r="X30" s="112">
        <f>Lorry_Trips2025[[#This Row],[Money Deposited at Bank]]-SUM(U30)</f>
        <v>42970</v>
      </c>
      <c r="Y30" s="29">
        <f>SUM(Lorry_Trips2025[[#This Row],[Total Expense]],Lorry_Trips2025[[#This Row],[Money Deposited at Bank]])</f>
        <v>312970</v>
      </c>
      <c r="Z30" s="11"/>
      <c r="AA30" s="10">
        <f>IFERROR(Lorry_Trips2025[[#This Row],[Total Expense]]/Lorry_Trips2025[[#This Row],[Standard Distance]],0)</f>
        <v>0</v>
      </c>
      <c r="AB30" s="125">
        <f>IFERROR(Lorry_Trips2025[[#This Row],[Net Income]]/Lorry_Trips2025[[#This Row],[Total Expense]],0)</f>
        <v>0.47565174618789968</v>
      </c>
      <c r="AC30" s="126">
        <f>IFERROR(Lorry_Trips2025[[#This Row],[Standard Distance]]/Lorry_Trips2025[[#This Row],[Fuel Cost]],0)</f>
        <v>0</v>
      </c>
    </row>
    <row r="31" spans="2:29" ht="15.75" customHeight="1">
      <c r="B31" s="89" t="s">
        <v>39</v>
      </c>
      <c r="C31" s="25">
        <v>45866</v>
      </c>
      <c r="D31" s="9" t="s">
        <v>40</v>
      </c>
      <c r="E31" s="9" t="s">
        <v>42</v>
      </c>
      <c r="F31" s="9"/>
      <c r="G31" s="9"/>
      <c r="H31" s="9"/>
      <c r="I31" s="9"/>
      <c r="J31" s="9"/>
      <c r="K31" s="9">
        <v>280</v>
      </c>
      <c r="L31" s="127">
        <v>168.3</v>
      </c>
      <c r="M31" s="120">
        <v>270000</v>
      </c>
      <c r="N31" s="128">
        <f>0.7*Lorry_Trips2025[[#This Row],[Gross Income]]</f>
        <v>189000</v>
      </c>
      <c r="O31" s="32">
        <f>Lorry_Trips2025[[#This Row],[Fuel(L)]]*Lorry_Trips2025[[#This Row],[Fuel Price (Per Litre)]]</f>
        <v>47124</v>
      </c>
      <c r="P31" s="33">
        <v>15000</v>
      </c>
      <c r="Q31" s="33"/>
      <c r="R31" s="33">
        <v>7000</v>
      </c>
      <c r="S31" s="33"/>
      <c r="T31" s="154">
        <f>SUM(Lorry_Trips2025[[#This Row],[Fuel Cost]:[Other Expenses]])</f>
        <v>69124</v>
      </c>
      <c r="U31" s="35">
        <f>Lorry_Trips2025[[#This Row],[Gross Income]]-Lorry_Trips2025[[#This Row],[Total Expense]]</f>
        <v>200876</v>
      </c>
      <c r="V31" s="34"/>
      <c r="W31" s="91"/>
      <c r="X31" s="112">
        <f>Lorry_Trips2025[[#This Row],[Money Deposited at Bank]]-SUM(U31)</f>
        <v>-200876</v>
      </c>
      <c r="Y31" s="29">
        <f>SUM(Lorry_Trips2025[[#This Row],[Total Expense]],Lorry_Trips2025[[#This Row],[Money Deposited at Bank]])</f>
        <v>69124</v>
      </c>
      <c r="Z31" s="11"/>
      <c r="AA31" s="10">
        <f>IFERROR(Lorry_Trips2025[[#This Row],[Total Expense]]/Lorry_Trips2025[[#This Row],[Standard Distance]],0)</f>
        <v>0</v>
      </c>
      <c r="AB31" s="125">
        <f>IFERROR(Lorry_Trips2025[[#This Row],[Net Income]]/Lorry_Trips2025[[#This Row],[Total Expense]],0)</f>
        <v>2.9060239569469362</v>
      </c>
      <c r="AC31" s="126">
        <f>IFERROR(Lorry_Trips2025[[#This Row],[Standard Distance]]/Lorry_Trips2025[[#This Row],[Fuel Cost]],0)</f>
        <v>0</v>
      </c>
    </row>
    <row r="32" spans="2:29" ht="15.75" customHeight="1">
      <c r="B32" s="89" t="s">
        <v>39</v>
      </c>
      <c r="C32" s="24">
        <v>45870</v>
      </c>
      <c r="D32" s="6" t="s">
        <v>42</v>
      </c>
      <c r="E32" s="6" t="s">
        <v>40</v>
      </c>
      <c r="F32" s="6"/>
      <c r="G32" s="6"/>
      <c r="H32" s="6"/>
      <c r="I32" s="6"/>
      <c r="J32" s="6"/>
      <c r="K32" s="6">
        <v>900</v>
      </c>
      <c r="L32" s="127">
        <v>168.3</v>
      </c>
      <c r="M32" s="120">
        <v>270000</v>
      </c>
      <c r="N32" s="80">
        <f>0.7*Lorry_Trips2025[[#This Row],[Gross Income]]</f>
        <v>189000</v>
      </c>
      <c r="O32" s="32">
        <f>Lorry_Trips2025[[#This Row],[Fuel(L)]]*Lorry_Trips2025[[#This Row],[Fuel Price (Per Litre)]]</f>
        <v>151470</v>
      </c>
      <c r="P32" s="32">
        <v>5000</v>
      </c>
      <c r="Q32" s="32"/>
      <c r="R32" s="33">
        <v>0</v>
      </c>
      <c r="S32" s="32"/>
      <c r="T32" s="153">
        <f>SUM(Lorry_Trips2025[[#This Row],[Fuel Cost]:[Other Expenses]])</f>
        <v>156470</v>
      </c>
      <c r="U32" s="35">
        <f>Lorry_Trips2025[[#This Row],[Gross Income]]-Lorry_Trips2025[[#This Row],[Total Expense]]</f>
        <v>113530</v>
      </c>
      <c r="V32" s="34"/>
      <c r="W32" s="91"/>
      <c r="X32" s="112">
        <f>Lorry_Trips2025[[#This Row],[Money Deposited at Bank]]-SUM(U32)</f>
        <v>-113530</v>
      </c>
      <c r="Y32" s="29">
        <f>SUM(Lorry_Trips2025[[#This Row],[Total Expense]],Lorry_Trips2025[[#This Row],[Money Deposited at Bank]])</f>
        <v>156470</v>
      </c>
      <c r="Z32" s="8"/>
      <c r="AA32" s="7">
        <f>IFERROR(Lorry_Trips2025[[#This Row],[Total Expense]]/Lorry_Trips2025[[#This Row],[Standard Distance]],0)</f>
        <v>0</v>
      </c>
      <c r="AB32" s="123">
        <f>IFERROR(Lorry_Trips2025[[#This Row],[Net Income]]/Lorry_Trips2025[[#This Row],[Total Expense]],0)</f>
        <v>0.72557039688119129</v>
      </c>
      <c r="AC32" s="124">
        <f>IFERROR(Lorry_Trips2025[[#This Row],[Standard Distance]]/Lorry_Trips2025[[#This Row],[Fuel Cost]],0)</f>
        <v>0</v>
      </c>
    </row>
    <row r="33" spans="2:29" ht="15.75" customHeight="1">
      <c r="B33" s="89" t="s">
        <v>39</v>
      </c>
      <c r="C33" s="25">
        <v>45877</v>
      </c>
      <c r="D33" s="9" t="s">
        <v>40</v>
      </c>
      <c r="E33" s="9" t="s">
        <v>42</v>
      </c>
      <c r="F33" s="9"/>
      <c r="G33" s="9"/>
      <c r="H33" s="9"/>
      <c r="I33" s="9"/>
      <c r="J33" s="9"/>
      <c r="K33" s="6">
        <v>900</v>
      </c>
      <c r="L33" s="127">
        <v>168.3</v>
      </c>
      <c r="M33" s="120">
        <v>270000</v>
      </c>
      <c r="N33" s="79">
        <f>0.7*Lorry_Trips2025[[#This Row],[Gross Income]]</f>
        <v>189000</v>
      </c>
      <c r="O33" s="32">
        <f>Lorry_Trips2025[[#This Row],[Fuel(L)]]*Lorry_Trips2025[[#This Row],[Fuel Price (Per Litre)]]</f>
        <v>151470</v>
      </c>
      <c r="P33" s="33">
        <v>15000</v>
      </c>
      <c r="Q33" s="33"/>
      <c r="R33" s="104">
        <v>7000</v>
      </c>
      <c r="S33" s="33">
        <v>102790</v>
      </c>
      <c r="T33" s="154">
        <f>SUM(Lorry_Trips2025[[#This Row],[Fuel Cost]:[Other Expenses]])</f>
        <v>276260</v>
      </c>
      <c r="U33" s="148">
        <f>Lorry_Trips2025[[#This Row],[Gross Income]]-Lorry_Trips2025[[#This Row],[Total Expense]]</f>
        <v>-6260</v>
      </c>
      <c r="V33" s="78">
        <v>130000</v>
      </c>
      <c r="W33" s="115">
        <v>45891</v>
      </c>
      <c r="X33" s="112">
        <f>Lorry_Trips2025[[#This Row],[Money Deposited at Bank]]-SUM(U33)</f>
        <v>136260</v>
      </c>
      <c r="Y33" s="29">
        <f>SUM(Lorry_Trips2025[[#This Row],[Total Expense]],Lorry_Trips2025[[#This Row],[Money Deposited at Bank]])</f>
        <v>406260</v>
      </c>
      <c r="Z33" s="11"/>
      <c r="AA33" s="10">
        <f>IFERROR(Lorry_Trips2025[[#This Row],[Total Expense]]/Lorry_Trips2025[[#This Row],[Standard Distance]],0)</f>
        <v>0</v>
      </c>
      <c r="AB33" s="125">
        <f>IFERROR(Lorry_Trips2025[[#This Row],[Net Income]]/Lorry_Trips2025[[#This Row],[Total Expense]],0)</f>
        <v>-2.2659813219430971E-2</v>
      </c>
      <c r="AC33" s="126">
        <f>IFERROR(Lorry_Trips2025[[#This Row],[Standard Distance]]/Lorry_Trips2025[[#This Row],[Fuel Cost]],0)</f>
        <v>0</v>
      </c>
    </row>
    <row r="34" spans="2:29" ht="15.75" customHeight="1">
      <c r="B34" s="89" t="s">
        <v>39</v>
      </c>
      <c r="C34" s="24">
        <v>45887</v>
      </c>
      <c r="D34" s="9" t="s">
        <v>40</v>
      </c>
      <c r="E34" s="9" t="s">
        <v>42</v>
      </c>
      <c r="F34" s="6"/>
      <c r="G34" s="6"/>
      <c r="H34" s="6"/>
      <c r="I34" s="6"/>
      <c r="J34" s="6"/>
      <c r="K34" s="6">
        <v>900</v>
      </c>
      <c r="L34" s="127">
        <v>168.3</v>
      </c>
      <c r="M34" s="120">
        <v>270000</v>
      </c>
      <c r="N34" s="80">
        <f>0.7*Lorry_Trips2025[[#This Row],[Gross Income]]</f>
        <v>189000</v>
      </c>
      <c r="O34" s="32">
        <f>Lorry_Trips2025[[#This Row],[Fuel(L)]]*Lorry_Trips2025[[#This Row],[Fuel Price (Per Litre)]]</f>
        <v>151470</v>
      </c>
      <c r="P34" s="32">
        <v>15000</v>
      </c>
      <c r="Q34" s="32"/>
      <c r="R34" s="104">
        <v>7000</v>
      </c>
      <c r="S34" s="32"/>
      <c r="T34" s="153">
        <f>SUM(Lorry_Trips2025[[#This Row],[Fuel Cost]:[Other Expenses]])</f>
        <v>173470</v>
      </c>
      <c r="U34" s="78">
        <f>Lorry_Trips2025[[#This Row],[Gross Income]]-Lorry_Trips2025[[#This Row],[Total Expense]]</f>
        <v>96530</v>
      </c>
      <c r="V34" s="77"/>
      <c r="W34" s="118"/>
      <c r="X34" s="112">
        <f>Lorry_Trips2025[[#This Row],[Money Deposited at Bank]]-SUM(U34)</f>
        <v>-96530</v>
      </c>
      <c r="Y34" s="29">
        <f>SUM(Lorry_Trips2025[[#This Row],[Total Expense]],Lorry_Trips2025[[#This Row],[Money Deposited at Bank]])</f>
        <v>173470</v>
      </c>
      <c r="Z34" s="140"/>
      <c r="AA34" s="141">
        <f>IFERROR(Lorry_Trips2025[[#This Row],[Total Expense]]/Lorry_Trips2025[[#This Row],[Standard Distance]],0)</f>
        <v>0</v>
      </c>
      <c r="AB34" s="142">
        <f>IFERROR(Lorry_Trips2025[[#This Row],[Net Income]]/Lorry_Trips2025[[#This Row],[Total Expense]],0)</f>
        <v>0.55646509482907702</v>
      </c>
      <c r="AC34" s="143">
        <f>IFERROR(Lorry_Trips2025[[#This Row],[Standard Distance]]/Lorry_Trips2025[[#This Row],[Fuel Cost]],0)</f>
        <v>0</v>
      </c>
    </row>
    <row r="35" spans="2:29" ht="15.75" customHeight="1">
      <c r="B35" s="89" t="s">
        <v>39</v>
      </c>
      <c r="C35" s="24">
        <v>45892</v>
      </c>
      <c r="D35" s="6" t="s">
        <v>40</v>
      </c>
      <c r="E35" s="9" t="s">
        <v>42</v>
      </c>
      <c r="F35" s="6"/>
      <c r="G35" s="6"/>
      <c r="H35" s="6"/>
      <c r="I35" s="6"/>
      <c r="J35" s="6"/>
      <c r="K35" s="6">
        <v>900</v>
      </c>
      <c r="L35" s="127">
        <v>168.3</v>
      </c>
      <c r="M35" s="120">
        <v>270000</v>
      </c>
      <c r="N35" s="129">
        <f>0.7*Lorry_Trips2025[[#This Row],[Gross Income]]</f>
        <v>189000</v>
      </c>
      <c r="O35" s="32">
        <f>Lorry_Trips2025[[#This Row],[Fuel(L)]]*Lorry_Trips2025[[#This Row],[Fuel Price (Per Litre)]]</f>
        <v>151470</v>
      </c>
      <c r="P35" s="33">
        <v>15000</v>
      </c>
      <c r="Q35" s="32"/>
      <c r="R35" s="104">
        <v>7000</v>
      </c>
      <c r="S35" s="32">
        <v>30091</v>
      </c>
      <c r="T35" s="153">
        <f>SUM(Lorry_Trips2025[[#This Row],[Fuel Cost]:[Other Expenses]])</f>
        <v>203561</v>
      </c>
      <c r="U35" s="149">
        <f>Lorry_Trips2025[[#This Row],[Gross Income]]-Lorry_Trips2025[[#This Row],[Total Expense]]</f>
        <v>66439</v>
      </c>
      <c r="V35" s="97">
        <v>100000</v>
      </c>
      <c r="W35" s="98">
        <v>45902</v>
      </c>
      <c r="X35" s="112">
        <f>Lorry_Trips2025[[#This Row],[Money Deposited at Bank]]-SUM(U35)</f>
        <v>33561</v>
      </c>
      <c r="Y35" s="29">
        <f>SUM(Lorry_Trips2025[[#This Row],[Total Expense]],Lorry_Trips2025[[#This Row],[Money Deposited at Bank]])</f>
        <v>303561</v>
      </c>
      <c r="Z35" s="8"/>
      <c r="AA35" s="7">
        <f>IFERROR(Lorry_Trips2025[[#This Row],[Total Expense]]/Lorry_Trips2025[[#This Row],[Standard Distance]],0)</f>
        <v>0</v>
      </c>
      <c r="AB35" s="123">
        <f>IFERROR(Lorry_Trips2025[[#This Row],[Net Income]]/Lorry_Trips2025[[#This Row],[Total Expense]],0)</f>
        <v>0.32638373755287114</v>
      </c>
      <c r="AC35" s="124">
        <f>IFERROR(Lorry_Trips2025[[#This Row],[Standard Distance]]/Lorry_Trips2025[[#This Row],[Fuel Cost]],0)</f>
        <v>0</v>
      </c>
    </row>
    <row r="36" spans="2:29" ht="15.75" customHeight="1">
      <c r="B36" s="89" t="s">
        <v>39</v>
      </c>
      <c r="C36" s="24">
        <v>45898</v>
      </c>
      <c r="D36" s="6" t="s">
        <v>40</v>
      </c>
      <c r="E36" s="9" t="s">
        <v>42</v>
      </c>
      <c r="F36" s="6"/>
      <c r="G36" s="6"/>
      <c r="H36" s="6"/>
      <c r="I36" s="6"/>
      <c r="J36" s="6"/>
      <c r="K36" s="6">
        <v>900</v>
      </c>
      <c r="L36" s="127">
        <v>168.3</v>
      </c>
      <c r="M36" s="120">
        <v>270000</v>
      </c>
      <c r="N36" s="130">
        <f>0.7*Lorry_Trips2025[[#This Row],[Gross Income]]</f>
        <v>189000</v>
      </c>
      <c r="O36" s="32">
        <f>Lorry_Trips2025[[#This Row],[Fuel(L)]]*Lorry_Trips2025[[#This Row],[Fuel Price (Per Litre)]]</f>
        <v>151470</v>
      </c>
      <c r="P36" s="33">
        <v>15000</v>
      </c>
      <c r="Q36" s="32"/>
      <c r="R36" s="104">
        <v>7000</v>
      </c>
      <c r="S36" s="32"/>
      <c r="T36" s="153">
        <f>SUM(Lorry_Trips2025[[#This Row],[Fuel Cost]:[Other Expenses]])</f>
        <v>173470</v>
      </c>
      <c r="U36" s="150">
        <f>Lorry_Trips2025[[#This Row],[Gross Income]]-Lorry_Trips2025[[#This Row],[Total Expense]]</f>
        <v>96530</v>
      </c>
      <c r="V36" s="113">
        <v>100000</v>
      </c>
      <c r="W36" s="117">
        <v>45911</v>
      </c>
      <c r="X36" s="112">
        <f>Lorry_Trips2025[[#This Row],[Money Deposited at Bank]]-SUM(U36)</f>
        <v>3470</v>
      </c>
      <c r="Y36" s="29">
        <f>SUM(Lorry_Trips2025[[#This Row],[Total Expense]],Lorry_Trips2025[[#This Row],[Money Deposited at Bank]])</f>
        <v>273470</v>
      </c>
      <c r="Z36" s="8"/>
      <c r="AA36" s="7">
        <f>IFERROR(Lorry_Trips2025[[#This Row],[Total Expense]]/Lorry_Trips2025[[#This Row],[Standard Distance]],0)</f>
        <v>0</v>
      </c>
      <c r="AB36" s="123">
        <f>IFERROR(Lorry_Trips2025[[#This Row],[Net Income]]/Lorry_Trips2025[[#This Row],[Total Expense]],0)</f>
        <v>0.55646509482907702</v>
      </c>
      <c r="AC36" s="124">
        <f>IFERROR(Lorry_Trips2025[[#This Row],[Standard Distance]]/Lorry_Trips2025[[#This Row],[Fuel Cost]],0)</f>
        <v>0</v>
      </c>
    </row>
    <row r="37" spans="2:29" ht="15.75" customHeight="1">
      <c r="B37" s="89" t="s">
        <v>39</v>
      </c>
      <c r="C37" s="24">
        <v>45910</v>
      </c>
      <c r="D37" s="6" t="s">
        <v>40</v>
      </c>
      <c r="E37" s="9" t="s">
        <v>41</v>
      </c>
      <c r="F37" s="6"/>
      <c r="G37" s="6"/>
      <c r="H37" s="6"/>
      <c r="I37" s="6"/>
      <c r="J37" s="6"/>
      <c r="K37" s="6">
        <v>900</v>
      </c>
      <c r="L37" s="127">
        <v>168.3</v>
      </c>
      <c r="M37" s="120">
        <v>260000</v>
      </c>
      <c r="N37" s="130">
        <f>0.7*Lorry_Trips2025[[#This Row],[Gross Income]]</f>
        <v>182000</v>
      </c>
      <c r="O37" s="32">
        <f>Lorry_Trips2025[[#This Row],[Fuel(L)]]*Lorry_Trips2025[[#This Row],[Fuel Price (Per Litre)]]</f>
        <v>151470</v>
      </c>
      <c r="P37" s="33">
        <v>15000</v>
      </c>
      <c r="Q37" s="32"/>
      <c r="R37" s="104">
        <v>7000</v>
      </c>
      <c r="S37" s="32"/>
      <c r="T37" s="153">
        <f>SUM(Lorry_Trips2025[[#This Row],[Fuel Cost]:[Other Expenses]])</f>
        <v>173470</v>
      </c>
      <c r="U37" s="151">
        <f>Lorry_Trips2025[[#This Row],[Gross Income]]-Lorry_Trips2025[[#This Row],[Total Expense]]</f>
        <v>86530</v>
      </c>
      <c r="V37" s="93">
        <v>100000</v>
      </c>
      <c r="W37" s="94">
        <v>45917</v>
      </c>
      <c r="X37" s="112">
        <f>Lorry_Trips2025[[#This Row],[Money Deposited at Bank]]-SUM(U37)</f>
        <v>13470</v>
      </c>
      <c r="Y37" s="29">
        <f>SUM(Lorry_Trips2025[[#This Row],[Total Expense]],Lorry_Trips2025[[#This Row],[Money Deposited at Bank]])</f>
        <v>273470</v>
      </c>
      <c r="Z37" s="8"/>
      <c r="AA37" s="7">
        <f>IFERROR(Lorry_Trips2025[[#This Row],[Total Expense]]/Lorry_Trips2025[[#This Row],[Standard Distance]],0)</f>
        <v>0</v>
      </c>
      <c r="AB37" s="123">
        <f>IFERROR(Lorry_Trips2025[[#This Row],[Net Income]]/Lorry_Trips2025[[#This Row],[Total Expense]],0)</f>
        <v>0.49881823946503717</v>
      </c>
      <c r="AC37" s="124">
        <f>IFERROR(Lorry_Trips2025[[#This Row],[Standard Distance]]/Lorry_Trips2025[[#This Row],[Fuel Cost]],0)</f>
        <v>0</v>
      </c>
    </row>
    <row r="38" spans="2:29" ht="15.75" customHeight="1">
      <c r="B38" s="89" t="s">
        <v>39</v>
      </c>
      <c r="C38" s="24">
        <v>45917</v>
      </c>
      <c r="D38" s="6" t="s">
        <v>40</v>
      </c>
      <c r="E38" s="9" t="s">
        <v>42</v>
      </c>
      <c r="F38" s="6"/>
      <c r="G38" s="6"/>
      <c r="H38" s="6"/>
      <c r="I38" s="6"/>
      <c r="J38" s="6"/>
      <c r="K38" s="6">
        <v>900</v>
      </c>
      <c r="L38" s="127">
        <v>168.3</v>
      </c>
      <c r="M38" s="82">
        <v>270000</v>
      </c>
      <c r="N38" s="130">
        <f>0.7*Lorry_Trips2025[[#This Row],[Gross Income]]</f>
        <v>189000</v>
      </c>
      <c r="O38" s="32">
        <f>Lorry_Trips2025[[#This Row],[Fuel(L)]]*Lorry_Trips2025[[#This Row],[Fuel Price (Per Litre)]]</f>
        <v>151470</v>
      </c>
      <c r="P38" s="33">
        <v>15000</v>
      </c>
      <c r="Q38" s="32"/>
      <c r="R38" s="104">
        <v>7000</v>
      </c>
      <c r="S38" s="32"/>
      <c r="T38" s="153">
        <f>SUM(Lorry_Trips2025[[#This Row],[Fuel Cost]:[Other Expenses]])</f>
        <v>173470</v>
      </c>
      <c r="U38" s="135">
        <f>Lorry_Trips2025[[#This Row],[Gross Income]]-Lorry_Trips2025[[#This Row],[Total Expense]]</f>
        <v>96530</v>
      </c>
      <c r="V38" s="34">
        <v>125000</v>
      </c>
      <c r="W38" s="91">
        <v>45946</v>
      </c>
      <c r="X38" s="112">
        <f>Lorry_Trips2025[[#This Row],[Money Deposited at Bank]]-SUM(U38)</f>
        <v>28470</v>
      </c>
      <c r="Y38" s="29">
        <f>SUM(Lorry_Trips2025[[#This Row],[Total Expense]],Lorry_Trips2025[[#This Row],[Money Deposited at Bank]])</f>
        <v>298470</v>
      </c>
      <c r="Z38" s="8"/>
      <c r="AA38" s="7">
        <f>IFERROR(Lorry_Trips2025[[#This Row],[Total Expense]]/Lorry_Trips2025[[#This Row],[Standard Distance]],0)</f>
        <v>0</v>
      </c>
      <c r="AB38" s="123">
        <f>IFERROR(Lorry_Trips2025[[#This Row],[Net Income]]/Lorry_Trips2025[[#This Row],[Total Expense]],0)</f>
        <v>0.55646509482907702</v>
      </c>
      <c r="AC38" s="124">
        <f>IFERROR(Lorry_Trips2025[[#This Row],[Standard Distance]]/Lorry_Trips2025[[#This Row],[Fuel Cost]],0)</f>
        <v>0</v>
      </c>
    </row>
    <row r="39" spans="2:29" ht="15.75" customHeight="1">
      <c r="B39" s="89" t="s">
        <v>39</v>
      </c>
      <c r="C39" s="25">
        <v>45924</v>
      </c>
      <c r="D39" s="9" t="s">
        <v>40</v>
      </c>
      <c r="E39" s="9" t="s">
        <v>42</v>
      </c>
      <c r="F39" s="9"/>
      <c r="G39" s="9"/>
      <c r="H39" s="9"/>
      <c r="I39" s="9"/>
      <c r="J39" s="9"/>
      <c r="K39" s="6">
        <v>900</v>
      </c>
      <c r="L39" s="127">
        <v>168.3</v>
      </c>
      <c r="M39" s="119">
        <v>270000</v>
      </c>
      <c r="N39" s="131">
        <f>0.7*Lorry_Trips2025[[#This Row],[Gross Income]]</f>
        <v>189000</v>
      </c>
      <c r="O39" s="32">
        <f>Lorry_Trips2025[[#This Row],[Fuel(L)]]*Lorry_Trips2025[[#This Row],[Fuel Price (Per Litre)]]</f>
        <v>151470</v>
      </c>
      <c r="P39" s="33">
        <v>15000</v>
      </c>
      <c r="Q39" s="33"/>
      <c r="R39" s="104">
        <v>7000</v>
      </c>
      <c r="S39" s="33">
        <v>68764.800000000003</v>
      </c>
      <c r="T39" s="154">
        <f>SUM(Lorry_Trips2025[[#This Row],[Fuel Cost]:[Other Expenses]])</f>
        <v>242234.8</v>
      </c>
      <c r="U39" s="136">
        <f>Lorry_Trips2025[[#This Row],[Gross Income]]-Lorry_Trips2025[[#This Row],[Total Expense]]</f>
        <v>27765.200000000012</v>
      </c>
      <c r="V39" s="34"/>
      <c r="W39" s="91"/>
      <c r="X39" s="112">
        <f>Lorry_Trips2025[[#This Row],[Money Deposited at Bank]]-SUM(U39)</f>
        <v>-27765.200000000012</v>
      </c>
      <c r="Y39" s="29">
        <f>SUM(Lorry_Trips2025[[#This Row],[Total Expense]],Lorry_Trips2025[[#This Row],[Money Deposited at Bank]])</f>
        <v>242234.8</v>
      </c>
      <c r="Z39" s="11"/>
      <c r="AA39" s="10">
        <f>IFERROR(Lorry_Trips2025[[#This Row],[Total Expense]]/Lorry_Trips2025[[#This Row],[Standard Distance]],0)</f>
        <v>0</v>
      </c>
      <c r="AB39" s="125">
        <f>IFERROR(Lorry_Trips2025[[#This Row],[Net Income]]/Lorry_Trips2025[[#This Row],[Total Expense]],0)</f>
        <v>0.11462102059654522</v>
      </c>
      <c r="AC39" s="126">
        <f>IFERROR(Lorry_Trips2025[[#This Row],[Standard Distance]]/Lorry_Trips2025[[#This Row],[Fuel Cost]],0)</f>
        <v>0</v>
      </c>
    </row>
    <row r="40" spans="2:29" ht="15.75" customHeight="1">
      <c r="B40" s="89" t="s">
        <v>39</v>
      </c>
      <c r="C40" s="24">
        <v>45936</v>
      </c>
      <c r="D40" s="9" t="s">
        <v>40</v>
      </c>
      <c r="E40" s="9" t="s">
        <v>42</v>
      </c>
      <c r="F40" s="6"/>
      <c r="G40" s="6"/>
      <c r="H40" s="6"/>
      <c r="I40" s="6"/>
      <c r="J40" s="6"/>
      <c r="K40" s="6">
        <v>900</v>
      </c>
      <c r="L40" s="6">
        <v>168.19</v>
      </c>
      <c r="M40" s="119">
        <v>270000</v>
      </c>
      <c r="N40" s="129">
        <f>0.7*Lorry_Trips2025[[#This Row],[Gross Income]]</f>
        <v>189000</v>
      </c>
      <c r="O40" s="32">
        <f>Lorry_Trips2025[[#This Row],[Fuel(L)]]*Lorry_Trips2025[[#This Row],[Fuel Price (Per Litre)]]</f>
        <v>151371</v>
      </c>
      <c r="P40" s="33">
        <v>15000</v>
      </c>
      <c r="Q40" s="32"/>
      <c r="R40" s="104">
        <v>7000</v>
      </c>
      <c r="S40" s="32">
        <v>7000</v>
      </c>
      <c r="T40" s="153">
        <f>SUM(Lorry_Trips2025[[#This Row],[Fuel Cost]:[Other Expenses]])</f>
        <v>180371</v>
      </c>
      <c r="U40" s="134">
        <f>Lorry_Trips2025[[#This Row],[Gross Income]]-Lorry_Trips2025[[#This Row],[Total Expense]]</f>
        <v>89629</v>
      </c>
      <c r="V40" s="34"/>
      <c r="W40" s="91"/>
      <c r="X40" s="112">
        <f>Lorry_Trips2025[[#This Row],[Money Deposited at Bank]]-SUM(U40)</f>
        <v>-89629</v>
      </c>
      <c r="Y40" s="29">
        <f>SUM(Lorry_Trips2025[[#This Row],[Total Expense]],Lorry_Trips2025[[#This Row],[Money Deposited at Bank]])</f>
        <v>180371</v>
      </c>
      <c r="Z40" s="8"/>
      <c r="AA40" s="7">
        <f>IFERROR(Lorry_Trips2025[[#This Row],[Total Expense]]/Lorry_Trips2025[[#This Row],[Standard Distance]],0)</f>
        <v>0</v>
      </c>
      <c r="AB40" s="123">
        <f>IFERROR(Lorry_Trips2025[[#This Row],[Net Income]]/Lorry_Trips2025[[#This Row],[Total Expense]],0)</f>
        <v>0.49691469249491327</v>
      </c>
      <c r="AC40" s="124">
        <f>IFERROR(Lorry_Trips2025[[#This Row],[Standard Distance]]/Lorry_Trips2025[[#This Row],[Fuel Cost]],0)</f>
        <v>0</v>
      </c>
    </row>
    <row r="41" spans="2:29" ht="15.75" customHeight="1">
      <c r="B41" s="89" t="s">
        <v>39</v>
      </c>
      <c r="C41" s="24">
        <v>45953</v>
      </c>
      <c r="D41" s="9" t="s">
        <v>40</v>
      </c>
      <c r="E41" s="9" t="s">
        <v>42</v>
      </c>
      <c r="F41" s="6"/>
      <c r="G41" s="6"/>
      <c r="H41" s="6"/>
      <c r="I41" s="6"/>
      <c r="J41" s="6"/>
      <c r="K41" s="6">
        <v>900</v>
      </c>
      <c r="L41" s="6">
        <v>168.19</v>
      </c>
      <c r="M41" s="119">
        <v>270000</v>
      </c>
      <c r="N41" s="130">
        <f>0.7*Lorry_Trips2025[[#This Row],[Gross Income]]</f>
        <v>189000</v>
      </c>
      <c r="O41" s="32">
        <f>Lorry_Trips2025[[#This Row],[Fuel(L)]]*Lorry_Trips2025[[#This Row],[Fuel Price (Per Litre)]]</f>
        <v>151371</v>
      </c>
      <c r="P41" s="33">
        <v>15000</v>
      </c>
      <c r="Q41" s="32"/>
      <c r="R41" s="104">
        <v>7000</v>
      </c>
      <c r="S41" s="32"/>
      <c r="T41" s="153">
        <f>SUM(Lorry_Trips2025[[#This Row],[Fuel Cost]:[Other Expenses]])</f>
        <v>173371</v>
      </c>
      <c r="U41" s="135">
        <f>Lorry_Trips2025[[#This Row],[Gross Income]]-Lorry_Trips2025[[#This Row],[Total Expense]]</f>
        <v>96629</v>
      </c>
      <c r="V41" s="34">
        <v>75000</v>
      </c>
      <c r="W41" s="91">
        <v>45967</v>
      </c>
      <c r="X41" s="112">
        <f>Lorry_Trips2025[[#This Row],[Money Deposited at Bank]]-SUM(U41)</f>
        <v>-21629</v>
      </c>
      <c r="Y41" s="29">
        <f>SUM(Lorry_Trips2025[[#This Row],[Total Expense]],Lorry_Trips2025[[#This Row],[Money Deposited at Bank]])</f>
        <v>248371</v>
      </c>
      <c r="Z41" s="8"/>
      <c r="AA41" s="7">
        <f>IFERROR(Lorry_Trips2025[[#This Row],[Total Expense]]/Lorry_Trips2025[[#This Row],[Standard Distance]],0)</f>
        <v>0</v>
      </c>
      <c r="AB41" s="123">
        <f>IFERROR(Lorry_Trips2025[[#This Row],[Net Income]]/Lorry_Trips2025[[#This Row],[Total Expense]],0)</f>
        <v>0.5573538827139487</v>
      </c>
      <c r="AC41" s="124">
        <f>IFERROR(Lorry_Trips2025[[#This Row],[Standard Distance]]/Lorry_Trips2025[[#This Row],[Fuel Cost]],0)</f>
        <v>0</v>
      </c>
    </row>
    <row r="42" spans="2:29" ht="15.75" customHeight="1">
      <c r="B42" s="89" t="s">
        <v>39</v>
      </c>
      <c r="C42" s="24">
        <v>45964</v>
      </c>
      <c r="D42" s="9" t="s">
        <v>40</v>
      </c>
      <c r="E42" s="9" t="s">
        <v>42</v>
      </c>
      <c r="F42" s="6"/>
      <c r="G42" s="6"/>
      <c r="H42" s="6"/>
      <c r="I42" s="6"/>
      <c r="J42" s="6"/>
      <c r="K42" s="6">
        <v>900</v>
      </c>
      <c r="L42" s="6">
        <v>168.19</v>
      </c>
      <c r="M42" s="119">
        <v>270000</v>
      </c>
      <c r="N42" s="130">
        <f>0.7*Lorry_Trips2025[[#This Row],[Gross Income]]</f>
        <v>189000</v>
      </c>
      <c r="O42" s="32">
        <f>Lorry_Trips2025[[#This Row],[Fuel(L)]]*Lorry_Trips2025[[#This Row],[Fuel Price (Per Litre)]]</f>
        <v>151371</v>
      </c>
      <c r="P42" s="33">
        <v>15000</v>
      </c>
      <c r="Q42" s="32"/>
      <c r="R42" s="104">
        <v>7000</v>
      </c>
      <c r="S42" s="32"/>
      <c r="T42" s="153">
        <f>SUM(Lorry_Trips2025[[#This Row],[Fuel Cost]:[Other Expenses]])</f>
        <v>173371</v>
      </c>
      <c r="U42" s="135">
        <f>Lorry_Trips2025[[#This Row],[Gross Income]]-Lorry_Trips2025[[#This Row],[Total Expense]]</f>
        <v>96629</v>
      </c>
      <c r="V42" s="34">
        <v>75000</v>
      </c>
      <c r="W42" s="91">
        <v>45983</v>
      </c>
      <c r="X42" s="112">
        <f>Lorry_Trips2025[[#This Row],[Money Deposited at Bank]]-SUM(U42)</f>
        <v>-21629</v>
      </c>
      <c r="Y42" s="29">
        <f>SUM(Lorry_Trips2025[[#This Row],[Total Expense]],Lorry_Trips2025[[#This Row],[Money Deposited at Bank]])</f>
        <v>248371</v>
      </c>
      <c r="Z42" s="8"/>
      <c r="AA42" s="7">
        <f>IFERROR(Lorry_Trips2025[[#This Row],[Total Expense]]/Lorry_Trips2025[[#This Row],[Standard Distance]],0)</f>
        <v>0</v>
      </c>
      <c r="AB42" s="123">
        <f>IFERROR(Lorry_Trips2025[[#This Row],[Net Income]]/Lorry_Trips2025[[#This Row],[Total Expense]],0)</f>
        <v>0.5573538827139487</v>
      </c>
      <c r="AC42" s="124">
        <f>IFERROR(Lorry_Trips2025[[#This Row],[Standard Distance]]/Lorry_Trips2025[[#This Row],[Fuel Cost]],0)</f>
        <v>0</v>
      </c>
    </row>
    <row r="43" spans="2:29" ht="15.75" customHeight="1">
      <c r="B43" s="89" t="s">
        <v>39</v>
      </c>
      <c r="C43" s="24">
        <v>45978</v>
      </c>
      <c r="D43" s="9" t="s">
        <v>40</v>
      </c>
      <c r="E43" s="9" t="s">
        <v>42</v>
      </c>
      <c r="F43" s="6"/>
      <c r="G43" s="6"/>
      <c r="H43" s="6"/>
      <c r="I43" s="6"/>
      <c r="J43" s="6"/>
      <c r="K43" s="6">
        <v>900</v>
      </c>
      <c r="L43" s="6">
        <v>168.19</v>
      </c>
      <c r="M43" s="119">
        <v>270000</v>
      </c>
      <c r="N43" s="130">
        <f>0.7*Lorry_Trips2025[[#This Row],[Gross Income]]</f>
        <v>189000</v>
      </c>
      <c r="O43" s="32">
        <f>Lorry_Trips2025[[#This Row],[Fuel(L)]]*Lorry_Trips2025[[#This Row],[Fuel Price (Per Litre)]]</f>
        <v>151371</v>
      </c>
      <c r="P43" s="33">
        <v>15000</v>
      </c>
      <c r="Q43" s="32"/>
      <c r="R43" s="104">
        <v>7000</v>
      </c>
      <c r="S43" s="32"/>
      <c r="T43" s="153">
        <f>SUM(Lorry_Trips2025[[#This Row],[Fuel Cost]:[Other Expenses]])</f>
        <v>173371</v>
      </c>
      <c r="U43" s="135">
        <f>Lorry_Trips2025[[#This Row],[Gross Income]]-Lorry_Trips2025[[#This Row],[Total Expense]]</f>
        <v>96629</v>
      </c>
      <c r="V43" s="34">
        <v>90000</v>
      </c>
      <c r="W43" s="91">
        <v>45995</v>
      </c>
      <c r="X43" s="112">
        <f>Lorry_Trips2025[[#This Row],[Money Deposited at Bank]]-SUM(U43)</f>
        <v>-6629</v>
      </c>
      <c r="Y43" s="29">
        <f>SUM(Lorry_Trips2025[[#This Row],[Total Expense]],Lorry_Trips2025[[#This Row],[Money Deposited at Bank]])</f>
        <v>263371</v>
      </c>
      <c r="Z43" s="8"/>
      <c r="AA43" s="7">
        <f>IFERROR(Lorry_Trips2025[[#This Row],[Total Expense]]/Lorry_Trips2025[[#This Row],[Standard Distance]],0)</f>
        <v>0</v>
      </c>
      <c r="AB43" s="123">
        <f>IFERROR(Lorry_Trips2025[[#This Row],[Net Income]]/Lorry_Trips2025[[#This Row],[Total Expense]],0)</f>
        <v>0.5573538827139487</v>
      </c>
      <c r="AC43" s="124">
        <f>IFERROR(Lorry_Trips2025[[#This Row],[Standard Distance]]/Lorry_Trips2025[[#This Row],[Fuel Cost]],0)</f>
        <v>0</v>
      </c>
    </row>
    <row r="44" spans="2:29" ht="15.75" customHeight="1">
      <c r="B44" s="89" t="s">
        <v>39</v>
      </c>
      <c r="C44" s="25">
        <v>45989</v>
      </c>
      <c r="D44" s="9" t="s">
        <v>40</v>
      </c>
      <c r="E44" s="9" t="s">
        <v>42</v>
      </c>
      <c r="F44" s="9"/>
      <c r="G44" s="9"/>
      <c r="H44" s="9"/>
      <c r="I44" s="9"/>
      <c r="J44" s="9"/>
      <c r="K44" s="6">
        <v>900</v>
      </c>
      <c r="L44" s="6">
        <v>168.19</v>
      </c>
      <c r="M44" s="119">
        <v>270000</v>
      </c>
      <c r="N44" s="131">
        <f>0.7*Lorry_Trips2025[[#This Row],[Gross Income]]</f>
        <v>189000</v>
      </c>
      <c r="O44" s="32">
        <f>Lorry_Trips2025[[#This Row],[Fuel(L)]]*Lorry_Trips2025[[#This Row],[Fuel Price (Per Litre)]]</f>
        <v>151371</v>
      </c>
      <c r="P44" s="33">
        <v>15000</v>
      </c>
      <c r="Q44" s="33"/>
      <c r="R44" s="104">
        <v>7000</v>
      </c>
      <c r="S44" s="33"/>
      <c r="T44" s="154">
        <f>SUM(Lorry_Trips2025[[#This Row],[Fuel Cost]:[Other Expenses]])</f>
        <v>173371</v>
      </c>
      <c r="U44" s="136">
        <f>Lorry_Trips2025[[#This Row],[Gross Income]]-Lorry_Trips2025[[#This Row],[Total Expense]]</f>
        <v>96629</v>
      </c>
      <c r="V44" s="34">
        <v>90000</v>
      </c>
      <c r="W44" s="91">
        <v>46005</v>
      </c>
      <c r="X44" s="112">
        <f>Lorry_Trips2025[[#This Row],[Money Deposited at Bank]]-SUM(U44)</f>
        <v>-6629</v>
      </c>
      <c r="Y44" s="29">
        <f>SUM(Lorry_Trips2025[[#This Row],[Total Expense]],Lorry_Trips2025[[#This Row],[Money Deposited at Bank]])</f>
        <v>263371</v>
      </c>
      <c r="Z44" s="11"/>
      <c r="AA44" s="10">
        <f>IFERROR(Lorry_Trips2025[[#This Row],[Total Expense]]/Lorry_Trips2025[[#This Row],[Standard Distance]],0)</f>
        <v>0</v>
      </c>
      <c r="AB44" s="125">
        <f>IFERROR(Lorry_Trips2025[[#This Row],[Net Income]]/Lorry_Trips2025[[#This Row],[Total Expense]],0)</f>
        <v>0.5573538827139487</v>
      </c>
      <c r="AC44" s="126">
        <f>IFERROR(Lorry_Trips2025[[#This Row],[Standard Distance]]/Lorry_Trips2025[[#This Row],[Fuel Cost]],0)</f>
        <v>0</v>
      </c>
    </row>
    <row r="45" spans="2:29" ht="15.75" customHeight="1">
      <c r="B45" s="89" t="s">
        <v>39</v>
      </c>
      <c r="C45" s="24">
        <v>45999</v>
      </c>
      <c r="D45" s="9" t="s">
        <v>40</v>
      </c>
      <c r="E45" s="9" t="s">
        <v>42</v>
      </c>
      <c r="F45" s="6"/>
      <c r="G45" s="6"/>
      <c r="H45" s="6"/>
      <c r="I45" s="6"/>
      <c r="J45" s="6"/>
      <c r="K45" s="6">
        <v>900</v>
      </c>
      <c r="L45" s="6">
        <v>168.19</v>
      </c>
      <c r="M45" s="82">
        <v>265000</v>
      </c>
      <c r="N45" s="129">
        <f>0.7*Lorry_Trips2025[[#This Row],[Gross Income]]</f>
        <v>185500</v>
      </c>
      <c r="O45" s="32">
        <f>Lorry_Trips2025[[#This Row],[Fuel(L)]]*Lorry_Trips2025[[#This Row],[Fuel Price (Per Litre)]]</f>
        <v>151371</v>
      </c>
      <c r="P45" s="33">
        <v>15000</v>
      </c>
      <c r="Q45" s="32"/>
      <c r="R45" s="104">
        <v>7000</v>
      </c>
      <c r="S45" s="32"/>
      <c r="T45" s="153">
        <f>SUM(Lorry_Trips2025[[#This Row],[Fuel Cost]:[Other Expenses]])</f>
        <v>173371</v>
      </c>
      <c r="U45" s="134">
        <f>Lorry_Trips2025[[#This Row],[Gross Income]]-Lorry_Trips2025[[#This Row],[Total Expense]]</f>
        <v>91629</v>
      </c>
      <c r="V45" s="34"/>
      <c r="W45" s="91"/>
      <c r="X45" s="112">
        <f>Lorry_Trips2025[[#This Row],[Money Deposited at Bank]]-SUM(U45)</f>
        <v>-91629</v>
      </c>
      <c r="Y45" s="29">
        <f>SUM(Lorry_Trips2025[[#This Row],[Total Expense]],Lorry_Trips2025[[#This Row],[Money Deposited at Bank]])</f>
        <v>173371</v>
      </c>
      <c r="Z45" s="8"/>
      <c r="AA45" s="7">
        <f>IFERROR(Lorry_Trips2025[[#This Row],[Total Expense]]/Lorry_Trips2025[[#This Row],[Standard Distance]],0)</f>
        <v>0</v>
      </c>
      <c r="AB45" s="123">
        <f>IFERROR(Lorry_Trips2025[[#This Row],[Net Income]]/Lorry_Trips2025[[#This Row],[Total Expense]],0)</f>
        <v>0.52851399599702376</v>
      </c>
      <c r="AC45" s="124">
        <f>IFERROR(Lorry_Trips2025[[#This Row],[Standard Distance]]/Lorry_Trips2025[[#This Row],[Fuel Cost]],0)</f>
        <v>0</v>
      </c>
    </row>
    <row r="46" spans="2:29" ht="15.75" customHeight="1">
      <c r="B46" s="89" t="s">
        <v>39</v>
      </c>
      <c r="C46" s="24">
        <v>46009</v>
      </c>
      <c r="D46" s="9" t="s">
        <v>40</v>
      </c>
      <c r="E46" s="9" t="s">
        <v>42</v>
      </c>
      <c r="F46" s="6"/>
      <c r="G46" s="6"/>
      <c r="H46" s="6"/>
      <c r="I46" s="6"/>
      <c r="J46" s="6"/>
      <c r="K46" s="6">
        <v>900</v>
      </c>
      <c r="L46" s="6">
        <v>168.19</v>
      </c>
      <c r="M46" s="120">
        <v>270000</v>
      </c>
      <c r="N46" s="130">
        <f>0.7*Lorry_Trips2025[[#This Row],[Gross Income]]</f>
        <v>189000</v>
      </c>
      <c r="O46" s="32">
        <f>Lorry_Trips2025[[#This Row],[Fuel(L)]]*Lorry_Trips2025[[#This Row],[Fuel Price (Per Litre)]]</f>
        <v>151371</v>
      </c>
      <c r="P46" s="33">
        <v>15000</v>
      </c>
      <c r="Q46" s="32"/>
      <c r="R46" s="104">
        <v>7000</v>
      </c>
      <c r="S46" s="32"/>
      <c r="T46" s="153">
        <f>SUM(Lorry_Trips2025[[#This Row],[Fuel Cost]:[Other Expenses]])</f>
        <v>173371</v>
      </c>
      <c r="U46" s="135">
        <f>Lorry_Trips2025[[#This Row],[Gross Income]]-Lorry_Trips2025[[#This Row],[Total Expense]]</f>
        <v>96629</v>
      </c>
      <c r="V46" s="34"/>
      <c r="W46" s="91"/>
      <c r="X46" s="112">
        <f>Lorry_Trips2025[[#This Row],[Money Deposited at Bank]]-SUM(U46)</f>
        <v>-96629</v>
      </c>
      <c r="Y46" s="29">
        <f>SUM(Lorry_Trips2025[[#This Row],[Total Expense]],Lorry_Trips2025[[#This Row],[Money Deposited at Bank]])</f>
        <v>173371</v>
      </c>
      <c r="Z46" s="8"/>
      <c r="AA46" s="7">
        <f>IFERROR(Lorry_Trips2025[[#This Row],[Total Expense]]/Lorry_Trips2025[[#This Row],[Standard Distance]],0)</f>
        <v>0</v>
      </c>
      <c r="AB46" s="123">
        <f>IFERROR(Lorry_Trips2025[[#This Row],[Net Income]]/Lorry_Trips2025[[#This Row],[Total Expense]],0)</f>
        <v>0.5573538827139487</v>
      </c>
      <c r="AC46" s="124">
        <f>IFERROR(Lorry_Trips2025[[#This Row],[Standard Distance]]/Lorry_Trips2025[[#This Row],[Fuel Cost]],0)</f>
        <v>0</v>
      </c>
    </row>
    <row r="47" spans="2:29" ht="15.75" customHeight="1">
      <c r="B47" s="89" t="s">
        <v>39</v>
      </c>
      <c r="C47" s="24">
        <v>46022</v>
      </c>
      <c r="D47" s="9" t="s">
        <v>40</v>
      </c>
      <c r="E47" s="9" t="s">
        <v>42</v>
      </c>
      <c r="F47" s="6"/>
      <c r="G47" s="6"/>
      <c r="H47" s="6"/>
      <c r="I47" s="6"/>
      <c r="J47" s="6"/>
      <c r="K47" s="6">
        <v>900</v>
      </c>
      <c r="L47" s="6">
        <v>168.19</v>
      </c>
      <c r="M47" s="120">
        <v>270000</v>
      </c>
      <c r="N47" s="130">
        <f>0.7*Lorry_Trips2025[[#This Row],[Gross Income]]</f>
        <v>189000</v>
      </c>
      <c r="O47" s="32">
        <f>Lorry_Trips2025[[#This Row],[Fuel(L)]]*Lorry_Trips2025[[#This Row],[Fuel Price (Per Litre)]]</f>
        <v>151371</v>
      </c>
      <c r="P47" s="33">
        <v>15000</v>
      </c>
      <c r="Q47" s="32"/>
      <c r="R47" s="104">
        <v>7000</v>
      </c>
      <c r="S47" s="32">
        <v>25791</v>
      </c>
      <c r="T47" s="153">
        <f>SUM(Lorry_Trips2025[[#This Row],[Fuel Cost]:[Other Expenses]])</f>
        <v>199162</v>
      </c>
      <c r="U47" s="135">
        <f>Lorry_Trips2025[[#This Row],[Gross Income]]-Lorry_Trips2025[[#This Row],[Total Expense]]</f>
        <v>70838</v>
      </c>
      <c r="V47" s="34">
        <v>175000</v>
      </c>
      <c r="W47" s="91">
        <v>46029</v>
      </c>
      <c r="X47" s="112">
        <f>Lorry_Trips2025[[#This Row],[Money Deposited at Bank]]-SUM(U47)</f>
        <v>104162</v>
      </c>
      <c r="Y47" s="29">
        <f>SUM(Lorry_Trips2025[[#This Row],[Total Expense]],Lorry_Trips2025[[#This Row],[Money Deposited at Bank]])</f>
        <v>374162</v>
      </c>
      <c r="Z47" s="8"/>
      <c r="AA47" s="7">
        <f>IFERROR(Lorry_Trips2025[[#This Row],[Total Expense]]/Lorry_Trips2025[[#This Row],[Standard Distance]],0)</f>
        <v>0</v>
      </c>
      <c r="AB47" s="123">
        <f>IFERROR(Lorry_Trips2025[[#This Row],[Net Income]]/Lorry_Trips2025[[#This Row],[Total Expense]],0)</f>
        <v>0.3556803004589229</v>
      </c>
      <c r="AC47" s="124">
        <f>IFERROR(Lorry_Trips2025[[#This Row],[Standard Distance]]/Lorry_Trips2025[[#This Row],[Fuel Cost]],0)</f>
        <v>0</v>
      </c>
    </row>
    <row r="48" spans="2:29" ht="15.75" customHeight="1">
      <c r="B48" s="89" t="s">
        <v>39</v>
      </c>
      <c r="C48" s="24">
        <v>46032</v>
      </c>
      <c r="D48" s="9" t="s">
        <v>40</v>
      </c>
      <c r="E48" s="9" t="s">
        <v>42</v>
      </c>
      <c r="F48" s="6"/>
      <c r="G48" s="6"/>
      <c r="H48" s="6"/>
      <c r="I48" s="6"/>
      <c r="J48" s="6"/>
      <c r="K48" s="6">
        <v>900</v>
      </c>
      <c r="L48" s="6">
        <v>168.19</v>
      </c>
      <c r="M48" s="120">
        <v>270000</v>
      </c>
      <c r="N48" s="130">
        <f>0.7*Lorry_Trips2025[[#This Row],[Gross Income]]</f>
        <v>189000</v>
      </c>
      <c r="O48" s="32">
        <f>Lorry_Trips2025[[#This Row],[Fuel(L)]]*Lorry_Trips2025[[#This Row],[Fuel Price (Per Litre)]]</f>
        <v>151371</v>
      </c>
      <c r="P48" s="33">
        <v>15000</v>
      </c>
      <c r="Q48" s="32"/>
      <c r="R48" s="104">
        <v>7000</v>
      </c>
      <c r="S48" s="32"/>
      <c r="T48" s="153">
        <f>SUM(Lorry_Trips2025[[#This Row],[Fuel Cost]:[Other Expenses]])</f>
        <v>173371</v>
      </c>
      <c r="U48" s="135">
        <f>Lorry_Trips2025[[#This Row],[Gross Income]]-Lorry_Trips2025[[#This Row],[Total Expense]]</f>
        <v>96629</v>
      </c>
      <c r="V48" s="34"/>
      <c r="W48" s="91"/>
      <c r="X48" s="112">
        <f>Lorry_Trips2025[[#This Row],[Money Deposited at Bank]]-SUM(U48)</f>
        <v>-96629</v>
      </c>
      <c r="Y48" s="29">
        <f>SUM(Lorry_Trips2025[[#This Row],[Total Expense]],Lorry_Trips2025[[#This Row],[Money Deposited at Bank]])</f>
        <v>173371</v>
      </c>
      <c r="Z48" s="8"/>
      <c r="AA48" s="7">
        <f>IFERROR(Lorry_Trips2025[[#This Row],[Total Expense]]/Lorry_Trips2025[[#This Row],[Standard Distance]],0)</f>
        <v>0</v>
      </c>
      <c r="AB48" s="123">
        <f>IFERROR(Lorry_Trips2025[[#This Row],[Net Income]]/Lorry_Trips2025[[#This Row],[Total Expense]],0)</f>
        <v>0.5573538827139487</v>
      </c>
      <c r="AC48" s="124">
        <f>IFERROR(Lorry_Trips2025[[#This Row],[Standard Distance]]/Lorry_Trips2025[[#This Row],[Fuel Cost]],0)</f>
        <v>0</v>
      </c>
    </row>
    <row r="49" spans="2:29" ht="15.75" customHeight="1">
      <c r="B49" s="89" t="s">
        <v>39</v>
      </c>
      <c r="C49" s="25">
        <v>46049</v>
      </c>
      <c r="D49" s="9" t="s">
        <v>40</v>
      </c>
      <c r="E49" s="9" t="s">
        <v>47</v>
      </c>
      <c r="F49" s="9"/>
      <c r="G49" s="9"/>
      <c r="H49" s="9"/>
      <c r="I49" s="9"/>
      <c r="J49" s="9"/>
      <c r="K49" s="6">
        <v>200</v>
      </c>
      <c r="L49" s="6">
        <v>168.19</v>
      </c>
      <c r="M49" s="119">
        <v>80000</v>
      </c>
      <c r="N49" s="131">
        <f>0.7*Lorry_Trips2025[[#This Row],[Gross Income]]</f>
        <v>56000</v>
      </c>
      <c r="O49" s="32">
        <f>Lorry_Trips2025[[#This Row],[Fuel(L)]]*Lorry_Trips2025[[#This Row],[Fuel Price (Per Litre)]]</f>
        <v>33638</v>
      </c>
      <c r="P49" s="33">
        <v>15000</v>
      </c>
      <c r="Q49" s="33"/>
      <c r="R49" s="104">
        <v>7000</v>
      </c>
      <c r="S49" s="33"/>
      <c r="T49" s="154">
        <f>SUM(Lorry_Trips2025[[#This Row],[Fuel Cost]:[Other Expenses]])</f>
        <v>55638</v>
      </c>
      <c r="U49" s="136">
        <f>Lorry_Trips2025[[#This Row],[Gross Income]]-Lorry_Trips2025[[#This Row],[Total Expense]]</f>
        <v>24362</v>
      </c>
      <c r="V49" s="35"/>
      <c r="W49" s="92"/>
      <c r="X49" s="112">
        <f>Lorry_Trips2025[[#This Row],[Money Deposited at Bank]]-SUM(U49)</f>
        <v>-24362</v>
      </c>
      <c r="Y49" s="29">
        <f>SUM(Lorry_Trips2025[[#This Row],[Total Expense]],Lorry_Trips2025[[#This Row],[Money Deposited at Bank]])</f>
        <v>55638</v>
      </c>
      <c r="Z49" s="11"/>
      <c r="AA49" s="10">
        <f>IFERROR(Lorry_Trips2025[[#This Row],[Total Expense]]/Lorry_Trips2025[[#This Row],[Standard Distance]],0)</f>
        <v>0</v>
      </c>
      <c r="AB49" s="125">
        <f>IFERROR(Lorry_Trips2025[[#This Row],[Net Income]]/Lorry_Trips2025[[#This Row],[Total Expense]],0)</f>
        <v>0.43786620654948055</v>
      </c>
      <c r="AC49" s="126">
        <f>IFERROR(Lorry_Trips2025[[#This Row],[Standard Distance]]/Lorry_Trips2025[[#This Row],[Fuel Cost]],0)</f>
        <v>0</v>
      </c>
    </row>
    <row r="50" spans="2:29" ht="15.75" customHeight="1">
      <c r="B50" s="89" t="s">
        <v>39</v>
      </c>
      <c r="C50" s="24">
        <v>46057</v>
      </c>
      <c r="D50" s="9" t="s">
        <v>40</v>
      </c>
      <c r="E50" s="9" t="s">
        <v>48</v>
      </c>
      <c r="F50" s="6"/>
      <c r="G50" s="6"/>
      <c r="H50" s="6"/>
      <c r="I50" s="6"/>
      <c r="J50" s="6"/>
      <c r="K50" s="6">
        <v>200</v>
      </c>
      <c r="L50" s="6">
        <v>168.19</v>
      </c>
      <c r="M50" s="152">
        <v>80000</v>
      </c>
      <c r="N50" s="129">
        <f>0.7*Lorry_Trips2025[[#This Row],[Gross Income]]</f>
        <v>56000</v>
      </c>
      <c r="O50" s="32">
        <f>Lorry_Trips2025[[#This Row],[Fuel(L)]]*Lorry_Trips2025[[#This Row],[Fuel Price (Per Litre)]]</f>
        <v>33638</v>
      </c>
      <c r="P50" s="33">
        <v>15000</v>
      </c>
      <c r="Q50" s="32"/>
      <c r="R50" s="104">
        <v>7000</v>
      </c>
      <c r="S50" s="32">
        <v>135000</v>
      </c>
      <c r="T50" s="153">
        <f>SUM(Lorry_Trips2025[[#This Row],[Fuel Cost]:[Other Expenses]])</f>
        <v>190638</v>
      </c>
      <c r="U50" s="134">
        <f>Lorry_Trips2025[[#This Row],[Gross Income]]-Lorry_Trips2025[[#This Row],[Total Expense]]</f>
        <v>-110638</v>
      </c>
      <c r="V50" s="34"/>
      <c r="W50" s="91"/>
      <c r="X50" s="112">
        <f>Lorry_Trips2025[[#This Row],[Money Deposited at Bank]]-SUM(U50)</f>
        <v>110638</v>
      </c>
      <c r="Y50" s="29">
        <f>SUM(Lorry_Trips2025[[#This Row],[Total Expense]],Lorry_Trips2025[[#This Row],[Money Deposited at Bank]])</f>
        <v>190638</v>
      </c>
      <c r="Z50" s="8"/>
      <c r="AA50" s="7">
        <f>IFERROR(Lorry_Trips2025[[#This Row],[Total Expense]]/Lorry_Trips2025[[#This Row],[Standard Distance]],0)</f>
        <v>0</v>
      </c>
      <c r="AB50" s="123">
        <f>IFERROR(Lorry_Trips2025[[#This Row],[Net Income]]/Lorry_Trips2025[[#This Row],[Total Expense]],0)</f>
        <v>-0.580356487164154</v>
      </c>
      <c r="AC50" s="124">
        <f>IFERROR(Lorry_Trips2025[[#This Row],[Standard Distance]]/Lorry_Trips2025[[#This Row],[Fuel Cost]],0)</f>
        <v>0</v>
      </c>
    </row>
    <row r="51" spans="2:29" ht="15.75" customHeight="1">
      <c r="B51" s="89" t="s">
        <v>39</v>
      </c>
      <c r="C51" s="24">
        <v>46062</v>
      </c>
      <c r="D51" s="6" t="s">
        <v>40</v>
      </c>
      <c r="E51" s="6" t="s">
        <v>42</v>
      </c>
      <c r="F51" s="6"/>
      <c r="G51" s="6"/>
      <c r="H51" s="6"/>
      <c r="I51" s="6"/>
      <c r="J51" s="6"/>
      <c r="K51" s="6">
        <v>900</v>
      </c>
      <c r="L51" s="6">
        <v>168.19</v>
      </c>
      <c r="M51" s="120">
        <v>270000</v>
      </c>
      <c r="N51" s="130">
        <f>0.7*Lorry_Trips2025[[#This Row],[Gross Income]]</f>
        <v>189000</v>
      </c>
      <c r="O51" s="32">
        <f>Lorry_Trips2025[[#This Row],[Fuel(L)]]*Lorry_Trips2025[[#This Row],[Fuel Price (Per Litre)]]</f>
        <v>151371</v>
      </c>
      <c r="P51" s="33">
        <v>15000</v>
      </c>
      <c r="Q51" s="32"/>
      <c r="R51" s="104">
        <v>7000</v>
      </c>
      <c r="S51" s="32"/>
      <c r="T51" s="153">
        <f>SUM(Lorry_Trips2025[[#This Row],[Fuel Cost]:[Other Expenses]])</f>
        <v>173371</v>
      </c>
      <c r="U51" s="135">
        <f>Lorry_Trips2025[[#This Row],[Gross Income]]-Lorry_Trips2025[[#This Row],[Total Expense]]</f>
        <v>96629</v>
      </c>
      <c r="V51" s="34"/>
      <c r="W51" s="91"/>
      <c r="X51" s="112">
        <f>Lorry_Trips2025[[#This Row],[Money Deposited at Bank]]-SUM(U51)</f>
        <v>-96629</v>
      </c>
      <c r="Y51" s="29">
        <f>SUM(Lorry_Trips2025[[#This Row],[Total Expense]],Lorry_Trips2025[[#This Row],[Money Deposited at Bank]])</f>
        <v>173371</v>
      </c>
      <c r="Z51" s="8"/>
      <c r="AA51" s="7">
        <f>IFERROR(Lorry_Trips2025[[#This Row],[Total Expense]]/Lorry_Trips2025[[#This Row],[Standard Distance]],0)</f>
        <v>0</v>
      </c>
      <c r="AB51" s="123">
        <f>IFERROR(Lorry_Trips2025[[#This Row],[Net Income]]/Lorry_Trips2025[[#This Row],[Total Expense]],0)</f>
        <v>0.5573538827139487</v>
      </c>
      <c r="AC51" s="124">
        <f>IFERROR(Lorry_Trips2025[[#This Row],[Standard Distance]]/Lorry_Trips2025[[#This Row],[Fuel Cost]],0)</f>
        <v>0</v>
      </c>
    </row>
    <row r="52" spans="2:29" ht="15.75" customHeight="1">
      <c r="B52" s="89" t="s">
        <v>39</v>
      </c>
      <c r="C52" s="24">
        <v>46074</v>
      </c>
      <c r="D52" s="6" t="s">
        <v>40</v>
      </c>
      <c r="E52" s="6" t="s">
        <v>42</v>
      </c>
      <c r="F52" s="6"/>
      <c r="G52" s="6"/>
      <c r="H52" s="6"/>
      <c r="I52" s="6"/>
      <c r="J52" s="6"/>
      <c r="K52" s="6">
        <v>900</v>
      </c>
      <c r="L52" s="6">
        <v>168.19</v>
      </c>
      <c r="M52" s="120">
        <v>270000</v>
      </c>
      <c r="N52" s="130">
        <f>0.7*Lorry_Trips2025[[#This Row],[Gross Income]]</f>
        <v>189000</v>
      </c>
      <c r="O52" s="32">
        <f>Lorry_Trips2025[[#This Row],[Fuel(L)]]*Lorry_Trips2025[[#This Row],[Fuel Price (Per Litre)]]</f>
        <v>151371</v>
      </c>
      <c r="P52" s="33">
        <v>15000</v>
      </c>
      <c r="Q52" s="32"/>
      <c r="R52" s="104">
        <v>7000</v>
      </c>
      <c r="S52" s="32"/>
      <c r="T52" s="153">
        <f>SUM(Lorry_Trips2025[[#This Row],[Fuel Cost]:[Other Expenses]])</f>
        <v>173371</v>
      </c>
      <c r="U52" s="135">
        <f>Lorry_Trips2025[[#This Row],[Gross Income]]-Lorry_Trips2025[[#This Row],[Total Expense]]</f>
        <v>96629</v>
      </c>
      <c r="V52" s="34">
        <v>200000</v>
      </c>
      <c r="W52" s="92">
        <v>46087</v>
      </c>
      <c r="X52" s="112">
        <f>Lorry_Trips2025[[#This Row],[Money Deposited at Bank]]-SUM(U52)</f>
        <v>103371</v>
      </c>
      <c r="Y52" s="29">
        <f>SUM(Lorry_Trips2025[[#This Row],[Total Expense]],Lorry_Trips2025[[#This Row],[Money Deposited at Bank]])</f>
        <v>373371</v>
      </c>
      <c r="Z52" s="8"/>
      <c r="AA52" s="7">
        <f>IFERROR(Lorry_Trips2025[[#This Row],[Total Expense]]/Lorry_Trips2025[[#This Row],[Standard Distance]],0)</f>
        <v>0</v>
      </c>
      <c r="AB52" s="123">
        <f>IFERROR(Lorry_Trips2025[[#This Row],[Net Income]]/Lorry_Trips2025[[#This Row],[Total Expense]],0)</f>
        <v>0.5573538827139487</v>
      </c>
      <c r="AC52" s="124">
        <f>IFERROR(Lorry_Trips2025[[#This Row],[Standard Distance]]/Lorry_Trips2025[[#This Row],[Fuel Cost]],0)</f>
        <v>0</v>
      </c>
    </row>
    <row r="53" spans="2:29" ht="15.75" customHeight="1">
      <c r="B53" s="89" t="s">
        <v>39</v>
      </c>
      <c r="C53" s="24">
        <v>46085</v>
      </c>
      <c r="D53" s="6" t="s">
        <v>40</v>
      </c>
      <c r="E53" s="6" t="s">
        <v>42</v>
      </c>
      <c r="F53" s="6"/>
      <c r="G53" s="6"/>
      <c r="H53" s="6"/>
      <c r="I53" s="6"/>
      <c r="J53" s="6"/>
      <c r="K53" s="6">
        <v>900</v>
      </c>
      <c r="L53" s="6">
        <v>168.19</v>
      </c>
      <c r="M53" s="120">
        <v>270000</v>
      </c>
      <c r="N53" s="130">
        <f>0.7*Lorry_Trips2025[[#This Row],[Gross Income]]</f>
        <v>189000</v>
      </c>
      <c r="O53" s="32">
        <f>Lorry_Trips2025[[#This Row],[Fuel(L)]]*Lorry_Trips2025[[#This Row],[Fuel Price (Per Litre)]]</f>
        <v>151371</v>
      </c>
      <c r="P53" s="33">
        <v>15000</v>
      </c>
      <c r="Q53" s="32"/>
      <c r="R53" s="104">
        <v>7000</v>
      </c>
      <c r="S53" s="32">
        <v>29000</v>
      </c>
      <c r="T53" s="153">
        <f>SUM(Lorry_Trips2025[[#This Row],[Fuel Cost]:[Other Expenses]])</f>
        <v>202371</v>
      </c>
      <c r="U53" s="135">
        <f>Lorry_Trips2025[[#This Row],[Gross Income]]-Lorry_Trips2025[[#This Row],[Total Expense]]</f>
        <v>67629</v>
      </c>
      <c r="V53" s="34"/>
      <c r="W53" s="91"/>
      <c r="X53" s="112">
        <f>Lorry_Trips2025[[#This Row],[Money Deposited at Bank]]-SUM(U53)</f>
        <v>-67629</v>
      </c>
      <c r="Y53" s="29">
        <f>SUM(Lorry_Trips2025[[#This Row],[Total Expense]],Lorry_Trips2025[[#This Row],[Money Deposited at Bank]])</f>
        <v>202371</v>
      </c>
      <c r="Z53" s="8"/>
      <c r="AA53" s="7">
        <f>IFERROR(Lorry_Trips2025[[#This Row],[Total Expense]]/Lorry_Trips2025[[#This Row],[Standard Distance]],0)</f>
        <v>0</v>
      </c>
      <c r="AB53" s="123">
        <f>IFERROR(Lorry_Trips2025[[#This Row],[Net Income]]/Lorry_Trips2025[[#This Row],[Total Expense]],0)</f>
        <v>0.33418325748254446</v>
      </c>
      <c r="AC53" s="124">
        <f>IFERROR(Lorry_Trips2025[[#This Row],[Standard Distance]]/Lorry_Trips2025[[#This Row],[Fuel Cost]],0)</f>
        <v>0</v>
      </c>
    </row>
    <row r="54" spans="2:29" ht="15.75" customHeight="1">
      <c r="B54" s="89" t="s">
        <v>39</v>
      </c>
      <c r="C54" s="24"/>
      <c r="D54" s="6"/>
      <c r="E54" s="6"/>
      <c r="F54" s="6"/>
      <c r="G54" s="6"/>
      <c r="H54" s="6"/>
      <c r="I54" s="6"/>
      <c r="J54" s="6"/>
      <c r="K54" s="6"/>
      <c r="L54" s="6"/>
      <c r="M54" s="82"/>
      <c r="N54" s="130">
        <f>0.7*Lorry_Trips2025[[#This Row],[Gross Income]]</f>
        <v>0</v>
      </c>
      <c r="O54" s="32"/>
      <c r="P54" s="32"/>
      <c r="Q54" s="32"/>
      <c r="R54" s="132"/>
      <c r="S54" s="32"/>
      <c r="T54" s="153">
        <f>SUM(Lorry_Trips2025[[#This Row],[Fuel Cost]:[Other Expenses]])</f>
        <v>0</v>
      </c>
      <c r="U54" s="135">
        <f>Lorry_Trips2025[[#This Row],[Gross Income]]-Lorry_Trips2025[[#This Row],[Total Expense]]</f>
        <v>0</v>
      </c>
      <c r="V54" s="34"/>
      <c r="W54" s="91"/>
      <c r="X54" s="112">
        <f>Lorry_Trips2025[[#This Row],[Money Deposited at Bank]]-SUM(U54)</f>
        <v>0</v>
      </c>
      <c r="Y54" s="29">
        <f>SUM(Lorry_Trips2025[[#This Row],[Total Expense]],Lorry_Trips2025[[#This Row],[Money Deposited at Bank]])</f>
        <v>0</v>
      </c>
      <c r="Z54" s="8"/>
      <c r="AA54" s="7">
        <f>IFERROR(Lorry_Trips2025[[#This Row],[Total Expense]]/Lorry_Trips2025[[#This Row],[Standard Distance]],0)</f>
        <v>0</v>
      </c>
      <c r="AB54" s="123">
        <f>IFERROR(Lorry_Trips2025[[#This Row],[Net Income]]/Lorry_Trips2025[[#This Row],[Total Expense]],0)</f>
        <v>0</v>
      </c>
      <c r="AC54" s="124">
        <f>IFERROR(Lorry_Trips2025[[#This Row],[Standard Distance]]/Lorry_Trips2025[[#This Row],[Fuel Cost]],0)</f>
        <v>0</v>
      </c>
    </row>
    <row r="55" spans="2:29" ht="15.75" customHeight="1">
      <c r="B55" s="89" t="s">
        <v>39</v>
      </c>
      <c r="C55" s="24"/>
      <c r="D55" s="6"/>
      <c r="E55" s="6"/>
      <c r="F55" s="6"/>
      <c r="G55" s="6"/>
      <c r="H55" s="6"/>
      <c r="I55" s="6"/>
      <c r="J55" s="6"/>
      <c r="K55" s="6"/>
      <c r="L55" s="6"/>
      <c r="M55" s="82"/>
      <c r="N55" s="130">
        <f>0.7*Lorry_Trips2025[[#This Row],[Gross Income]]</f>
        <v>0</v>
      </c>
      <c r="O55" s="32"/>
      <c r="P55" s="32"/>
      <c r="Q55" s="32"/>
      <c r="R55" s="132"/>
      <c r="S55" s="32"/>
      <c r="T55" s="153">
        <f>SUM(Lorry_Trips2025[[#This Row],[Fuel Cost]:[Other Expenses]])</f>
        <v>0</v>
      </c>
      <c r="U55" s="135">
        <f>Lorry_Trips2025[[#This Row],[Gross Income]]-Lorry_Trips2025[[#This Row],[Total Expense]]</f>
        <v>0</v>
      </c>
      <c r="V55" s="34"/>
      <c r="W55" s="91"/>
      <c r="X55" s="112">
        <f>Lorry_Trips2025[[#This Row],[Money Deposited at Bank]]-SUM(U55)</f>
        <v>0</v>
      </c>
      <c r="Y55" s="29">
        <f>SUM(Lorry_Trips2025[[#This Row],[Total Expense]],Lorry_Trips2025[[#This Row],[Money Deposited at Bank]])</f>
        <v>0</v>
      </c>
      <c r="Z55" s="8"/>
      <c r="AA55" s="7">
        <f>IFERROR(Lorry_Trips2025[[#This Row],[Total Expense]]/Lorry_Trips2025[[#This Row],[Standard Distance]],0)</f>
        <v>0</v>
      </c>
      <c r="AB55" s="123">
        <f>IFERROR(Lorry_Trips2025[[#This Row],[Net Income]]/Lorry_Trips2025[[#This Row],[Total Expense]],0)</f>
        <v>0</v>
      </c>
      <c r="AC55" s="124">
        <f>IFERROR(Lorry_Trips2025[[#This Row],[Standard Distance]]/Lorry_Trips2025[[#This Row],[Fuel Cost]],0)</f>
        <v>0</v>
      </c>
    </row>
    <row r="56" spans="2:29" ht="15.75" customHeight="1">
      <c r="B56" s="89" t="s">
        <v>39</v>
      </c>
      <c r="C56" s="24"/>
      <c r="D56" s="6"/>
      <c r="E56" s="6"/>
      <c r="F56" s="6"/>
      <c r="G56" s="6"/>
      <c r="H56" s="6"/>
      <c r="I56" s="6"/>
      <c r="J56" s="6"/>
      <c r="K56" s="6"/>
      <c r="L56" s="6"/>
      <c r="M56" s="82"/>
      <c r="N56" s="130">
        <f>0.7*Lorry_Trips2025[[#This Row],[Gross Income]]</f>
        <v>0</v>
      </c>
      <c r="O56" s="32"/>
      <c r="P56" s="32"/>
      <c r="Q56" s="32"/>
      <c r="R56" s="132"/>
      <c r="S56" s="32"/>
      <c r="T56" s="153">
        <f>SUM(Lorry_Trips2025[[#This Row],[Fuel Cost]:[Other Expenses]])</f>
        <v>0</v>
      </c>
      <c r="U56" s="135">
        <f>Lorry_Trips2025[[#This Row],[Gross Income]]-Lorry_Trips2025[[#This Row],[Total Expense]]</f>
        <v>0</v>
      </c>
      <c r="V56" s="34"/>
      <c r="W56" s="91"/>
      <c r="X56" s="112">
        <f>Lorry_Trips2025[[#This Row],[Money Deposited at Bank]]-SUM(U56)</f>
        <v>0</v>
      </c>
      <c r="Y56" s="29">
        <f>SUM(Lorry_Trips2025[[#This Row],[Total Expense]],Lorry_Trips2025[[#This Row],[Money Deposited at Bank]])</f>
        <v>0</v>
      </c>
      <c r="Z56" s="8"/>
      <c r="AA56" s="7">
        <f>IFERROR(Lorry_Trips2025[[#This Row],[Total Expense]]/Lorry_Trips2025[[#This Row],[Standard Distance]],0)</f>
        <v>0</v>
      </c>
      <c r="AB56" s="123">
        <f>IFERROR(Lorry_Trips2025[[#This Row],[Net Income]]/Lorry_Trips2025[[#This Row],[Total Expense]],0)</f>
        <v>0</v>
      </c>
      <c r="AC56" s="124">
        <f>IFERROR(Lorry_Trips2025[[#This Row],[Standard Distance]]/Lorry_Trips2025[[#This Row],[Fuel Cost]],0)</f>
        <v>0</v>
      </c>
    </row>
    <row r="57" spans="2:29" ht="15.75" customHeight="1">
      <c r="B57" s="89" t="s">
        <v>39</v>
      </c>
      <c r="C57" s="24"/>
      <c r="D57" s="6"/>
      <c r="E57" s="6"/>
      <c r="F57" s="6"/>
      <c r="G57" s="6"/>
      <c r="H57" s="6"/>
      <c r="I57" s="6"/>
      <c r="J57" s="6"/>
      <c r="K57" s="6"/>
      <c r="L57" s="6"/>
      <c r="M57" s="82"/>
      <c r="N57" s="130">
        <f>0.7*Lorry_Trips2025[[#This Row],[Gross Income]]</f>
        <v>0</v>
      </c>
      <c r="O57" s="32"/>
      <c r="P57" s="32"/>
      <c r="Q57" s="32"/>
      <c r="R57" s="132"/>
      <c r="S57" s="32"/>
      <c r="T57" s="153">
        <f>SUM(Lorry_Trips2025[[#This Row],[Fuel Cost]:[Other Expenses]])</f>
        <v>0</v>
      </c>
      <c r="U57" s="135">
        <f>Lorry_Trips2025[[#This Row],[Gross Income]]-Lorry_Trips2025[[#This Row],[Total Expense]]</f>
        <v>0</v>
      </c>
      <c r="V57" s="34"/>
      <c r="W57" s="91"/>
      <c r="X57" s="112">
        <f>Lorry_Trips2025[[#This Row],[Money Deposited at Bank]]-SUM(U57)</f>
        <v>0</v>
      </c>
      <c r="Y57" s="29">
        <f>SUM(Lorry_Trips2025[[#This Row],[Total Expense]],Lorry_Trips2025[[#This Row],[Money Deposited at Bank]])</f>
        <v>0</v>
      </c>
      <c r="Z57" s="8"/>
      <c r="AA57" s="7">
        <f>IFERROR(Lorry_Trips2025[[#This Row],[Total Expense]]/Lorry_Trips2025[[#This Row],[Standard Distance]],0)</f>
        <v>0</v>
      </c>
      <c r="AB57" s="123">
        <f>IFERROR(Lorry_Trips2025[[#This Row],[Net Income]]/Lorry_Trips2025[[#This Row],[Total Expense]],0)</f>
        <v>0</v>
      </c>
      <c r="AC57" s="124">
        <f>IFERROR(Lorry_Trips2025[[#This Row],[Standard Distance]]/Lorry_Trips2025[[#This Row],[Fuel Cost]],0)</f>
        <v>0</v>
      </c>
    </row>
    <row r="58" spans="2:29" ht="15.75" customHeight="1">
      <c r="B58" s="89" t="s">
        <v>39</v>
      </c>
      <c r="C58" s="24"/>
      <c r="D58" s="6"/>
      <c r="E58" s="6"/>
      <c r="F58" s="6"/>
      <c r="G58" s="6"/>
      <c r="H58" s="6"/>
      <c r="I58" s="6"/>
      <c r="J58" s="6"/>
      <c r="K58" s="6"/>
      <c r="L58" s="6"/>
      <c r="M58" s="82"/>
      <c r="N58" s="131">
        <f>0.7*Lorry_Trips2025[[#This Row],[Gross Income]]</f>
        <v>0</v>
      </c>
      <c r="O58" s="32"/>
      <c r="P58" s="32"/>
      <c r="Q58" s="32"/>
      <c r="R58" s="133"/>
      <c r="S58" s="32"/>
      <c r="T58" s="153">
        <f>SUM(Lorry_Trips2025[[#This Row],[Fuel Cost]:[Other Expenses]])</f>
        <v>0</v>
      </c>
      <c r="U58" s="136">
        <f>Lorry_Trips2025[[#This Row],[Gross Income]]-Lorry_Trips2025[[#This Row],[Total Expense]]</f>
        <v>0</v>
      </c>
      <c r="V58" s="34"/>
      <c r="W58" s="91"/>
      <c r="X58" s="112">
        <f>Lorry_Trips2025[[#This Row],[Money Deposited at Bank]]-SUM(U58)</f>
        <v>0</v>
      </c>
      <c r="Y58" s="29">
        <f>SUM(Lorry_Trips2025[[#This Row],[Total Expense]],Lorry_Trips2025[[#This Row],[Money Deposited at Bank]])</f>
        <v>0</v>
      </c>
      <c r="Z58" s="8"/>
      <c r="AA58" s="7">
        <f>IFERROR(Lorry_Trips2025[[#This Row],[Total Expense]]/Lorry_Trips2025[[#This Row],[Standard Distance]],0)</f>
        <v>0</v>
      </c>
      <c r="AB58" s="123">
        <f>IFERROR(Lorry_Trips2025[[#This Row],[Net Income]]/Lorry_Trips2025[[#This Row],[Total Expense]],0)</f>
        <v>0</v>
      </c>
      <c r="AC58" s="124">
        <f>IFERROR(Lorry_Trips2025[[#This Row],[Standard Distance]]/Lorry_Trips2025[[#This Row],[Fuel Cost]],0)</f>
        <v>0</v>
      </c>
    </row>
  </sheetData>
  <mergeCells count="3">
    <mergeCell ref="O1:T1"/>
    <mergeCell ref="U1:X1"/>
    <mergeCell ref="K1:L1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0D6568D-0AEF-644A-A6DC-9992BF9868E3}">
          <x14:formula1>
            <xm:f>'Input Data'!$C$3:$C$6</xm:f>
          </x14:formula1>
          <xm:sqref>Z3:Z58</xm:sqref>
        </x14:dataValidation>
        <x14:dataValidation type="list" allowBlank="1" showInputMessage="1" showErrorMessage="1" xr:uid="{E4868B62-FB9A-3342-AB22-9A96179B33F4}">
          <x14:formula1>
            <xm:f>'Input Data'!$I$3:$I$4</xm:f>
          </x14:formula1>
          <xm:sqref>B3:B58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AA98-B13B-624E-B8C9-EBAD74C15685}">
  <dimension ref="B2:J4"/>
  <sheetViews>
    <sheetView zoomScale="130" zoomScaleNormal="130" workbookViewId="0">
      <selection activeCell="H3" sqref="H3"/>
    </sheetView>
  </sheetViews>
  <sheetFormatPr defaultColWidth="11" defaultRowHeight="15.95"/>
  <cols>
    <col min="2" max="2" width="11" customWidth="1"/>
    <col min="5" max="5" width="11.375" customWidth="1"/>
    <col min="7" max="7" width="16.125" customWidth="1"/>
    <col min="8" max="8" width="16.5" customWidth="1"/>
    <col min="10" max="10" width="14.125" bestFit="1" customWidth="1"/>
  </cols>
  <sheetData>
    <row r="2" spans="2:10">
      <c r="B2" t="s">
        <v>49</v>
      </c>
      <c r="C2" t="s">
        <v>50</v>
      </c>
      <c r="D2" t="s">
        <v>15</v>
      </c>
      <c r="E2" t="s">
        <v>27</v>
      </c>
      <c r="F2" t="s">
        <v>51</v>
      </c>
      <c r="G2" t="s">
        <v>52</v>
      </c>
      <c r="H2" t="s">
        <v>53</v>
      </c>
      <c r="I2" t="s">
        <v>54</v>
      </c>
      <c r="J2" t="s">
        <v>1</v>
      </c>
    </row>
    <row r="3" spans="2:10">
      <c r="C3" t="s">
        <v>55</v>
      </c>
      <c r="D3" s="26">
        <v>45713</v>
      </c>
      <c r="E3" s="27">
        <v>155000</v>
      </c>
      <c r="F3" s="27">
        <v>20000</v>
      </c>
      <c r="G3" s="27">
        <v>6000</v>
      </c>
      <c r="H3" s="27">
        <f>SUM(E3:G3)</f>
        <v>181000</v>
      </c>
      <c r="I3" s="27">
        <v>99000</v>
      </c>
      <c r="J3" s="27">
        <f>SUM(Table4[[#This Row],[Total Expediture]:[Deposit]])</f>
        <v>280000</v>
      </c>
    </row>
    <row r="4" spans="2:10">
      <c r="B4" t="s">
        <v>56</v>
      </c>
      <c r="C4" t="s">
        <v>55</v>
      </c>
      <c r="D4" s="26">
        <v>45716</v>
      </c>
      <c r="E4" s="27">
        <v>175000</v>
      </c>
      <c r="F4" s="27">
        <v>20000</v>
      </c>
      <c r="G4" s="27">
        <v>6000</v>
      </c>
      <c r="H4" s="27">
        <f>SUM(E4:G4)</f>
        <v>201000</v>
      </c>
      <c r="I4" s="27">
        <v>44000</v>
      </c>
      <c r="J4" s="27">
        <f>SUM(Table4[[#This Row],[Total Expediture]:[Deposit]])</f>
        <v>245000</v>
      </c>
    </row>
  </sheetData>
  <pageMargins left="0.7" right="0.7" top="0.75" bottom="0.75" header="0.3" footer="0.3"/>
  <ignoredErrors>
    <ignoredError sqref="I3:I4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1604-B4DE-664F-9DC4-14C1C0CED828}">
  <dimension ref="A1:O15"/>
  <sheetViews>
    <sheetView zoomScale="130" zoomScaleNormal="130" workbookViewId="0">
      <selection activeCell="B7" sqref="B7"/>
    </sheetView>
  </sheetViews>
  <sheetFormatPr defaultColWidth="11" defaultRowHeight="15.95"/>
  <cols>
    <col min="1" max="1" width="21" bestFit="1" customWidth="1"/>
    <col min="2" max="2" width="15" bestFit="1" customWidth="1"/>
    <col min="3" max="3" width="15" customWidth="1"/>
  </cols>
  <sheetData>
    <row r="1" spans="1:15">
      <c r="A1" t="s">
        <v>57</v>
      </c>
    </row>
    <row r="2" spans="1:15">
      <c r="A2" s="3" t="s">
        <v>58</v>
      </c>
      <c r="B2" s="4" t="s">
        <v>59</v>
      </c>
      <c r="C2" s="4" t="s">
        <v>60</v>
      </c>
      <c r="D2" s="12" t="s">
        <v>61</v>
      </c>
      <c r="E2" s="12" t="s">
        <v>62</v>
      </c>
      <c r="F2" s="12" t="s">
        <v>63</v>
      </c>
      <c r="G2" s="12" t="s">
        <v>64</v>
      </c>
      <c r="H2" s="12" t="s">
        <v>65</v>
      </c>
      <c r="I2" s="12" t="s">
        <v>66</v>
      </c>
      <c r="J2" s="12" t="s">
        <v>67</v>
      </c>
      <c r="K2" s="12" t="s">
        <v>68</v>
      </c>
      <c r="L2" s="12" t="s">
        <v>69</v>
      </c>
      <c r="M2" s="12" t="s">
        <v>70</v>
      </c>
      <c r="N2" s="12" t="s">
        <v>71</v>
      </c>
      <c r="O2" s="13" t="s">
        <v>72</v>
      </c>
    </row>
    <row r="3" spans="1:15">
      <c r="A3" s="14" t="s">
        <v>73</v>
      </c>
      <c r="B3" s="15">
        <v>302857</v>
      </c>
      <c r="C3" s="16" t="s">
        <v>74</v>
      </c>
      <c r="D3" s="17">
        <f>IF(Fixed_Expenses[[#This Row],[Frequency]]="Monthly", Fixed_Expenses[[#This Row],[Cost]], IF(Fixed_Expenses[[#This Row],[Frequency]]="Yearly", Fixed_Expenses[[#This Row],[Cost]]/12, 0))</f>
        <v>25238.083333333332</v>
      </c>
      <c r="E3" s="17">
        <f>IF(Fixed_Expenses[[#This Row],[Frequency]]="Monthly", Fixed_Expenses[[#This Row],[Cost]], IF(Fixed_Expenses[[#This Row],[Frequency]]="Yearly", Fixed_Expenses[[#This Row],[Cost]]/12, 0))</f>
        <v>25238.083333333332</v>
      </c>
      <c r="F3" s="17">
        <f>IF(Fixed_Expenses[[#This Row],[Frequency]]="Monthly", Fixed_Expenses[[#This Row],[Cost]], IF(Fixed_Expenses[[#This Row],[Frequency]]="Yearly", Fixed_Expenses[[#This Row],[Cost]]/12, 0))</f>
        <v>25238.083333333332</v>
      </c>
      <c r="G3" s="17">
        <f>IF(Fixed_Expenses[[#This Row],[Frequency]]="Monthly", Fixed_Expenses[[#This Row],[Cost]], IF(Fixed_Expenses[[#This Row],[Frequency]]="Yearly", Fixed_Expenses[[#This Row],[Cost]]/12, 0))</f>
        <v>25238.083333333332</v>
      </c>
      <c r="H3" s="7"/>
      <c r="I3" s="7"/>
      <c r="J3" s="7"/>
      <c r="K3" s="7"/>
      <c r="L3" s="7"/>
      <c r="M3" s="7"/>
      <c r="N3" s="7"/>
      <c r="O3" s="8"/>
    </row>
    <row r="4" spans="1:15">
      <c r="A4" s="14" t="s">
        <v>75</v>
      </c>
      <c r="B4" s="15">
        <v>200000</v>
      </c>
      <c r="C4" s="16" t="s">
        <v>74</v>
      </c>
      <c r="D4" s="17">
        <f>IF(Fixed_Expenses[[#This Row],[Frequency]]="Monthly", Fixed_Expenses[[#This Row],[Cost]], IF(Fixed_Expenses[[#This Row],[Frequency]]="Yearly", Fixed_Expenses[[#This Row],[Cost]]/12, 0))</f>
        <v>16666.666666666668</v>
      </c>
      <c r="E4" s="17">
        <f>IF(Fixed_Expenses[[#This Row],[Frequency]]="Monthly", Fixed_Expenses[[#This Row],[Cost]], IF(Fixed_Expenses[[#This Row],[Frequency]]="Yearly", Fixed_Expenses[[#This Row],[Cost]]/12, 0))</f>
        <v>16666.666666666668</v>
      </c>
      <c r="F4" s="17">
        <f>IF(Fixed_Expenses[[#This Row],[Frequency]]="Monthly", Fixed_Expenses[[#This Row],[Cost]], IF(Fixed_Expenses[[#This Row],[Frequency]]="Yearly", Fixed_Expenses[[#This Row],[Cost]]/12, 0))</f>
        <v>16666.666666666668</v>
      </c>
      <c r="G4" s="17">
        <f>IF(Fixed_Expenses[[#This Row],[Frequency]]="Monthly", Fixed_Expenses[[#This Row],[Cost]], IF(Fixed_Expenses[[#This Row],[Frequency]]="Yearly", Fixed_Expenses[[#This Row],[Cost]]/12, 0))</f>
        <v>16666.666666666668</v>
      </c>
      <c r="H4" s="7"/>
      <c r="I4" s="7"/>
      <c r="J4" s="7"/>
      <c r="K4" s="7"/>
      <c r="L4" s="7"/>
      <c r="M4" s="7"/>
      <c r="N4" s="7"/>
      <c r="O4" s="8"/>
    </row>
    <row r="5" spans="1:15">
      <c r="A5" s="18" t="s">
        <v>76</v>
      </c>
      <c r="B5" s="19">
        <v>20000</v>
      </c>
      <c r="C5" s="20" t="s">
        <v>74</v>
      </c>
      <c r="D5" s="21">
        <f>IF(Fixed_Expenses[[#This Row],[Frequency]]="Monthly", Fixed_Expenses[[#This Row],[Cost]], IF(Fixed_Expenses[[#This Row],[Frequency]]="Yearly", Fixed_Expenses[[#This Row],[Cost]]/12, 0))</f>
        <v>1666.6666666666667</v>
      </c>
      <c r="E5" s="21">
        <f>IF(Fixed_Expenses[[#This Row],[Frequency]]="Monthly", Fixed_Expenses[[#This Row],[Cost]], IF(Fixed_Expenses[[#This Row],[Frequency]]="Yearly", Fixed_Expenses[[#This Row],[Cost]]/12, 0))</f>
        <v>1666.6666666666667</v>
      </c>
      <c r="F5" s="21">
        <f>IF(Fixed_Expenses[[#This Row],[Frequency]]="Monthly", Fixed_Expenses[[#This Row],[Cost]], IF(Fixed_Expenses[[#This Row],[Frequency]]="Yearly", Fixed_Expenses[[#This Row],[Cost]]/12, 0))</f>
        <v>1666.6666666666667</v>
      </c>
      <c r="G5" s="17">
        <f>IF(Fixed_Expenses[[#This Row],[Frequency]]="Monthly", Fixed_Expenses[[#This Row],[Cost]], IF(Fixed_Expenses[[#This Row],[Frequency]]="Yearly", Fixed_Expenses[[#This Row],[Cost]]/12, 0))</f>
        <v>1666.6666666666667</v>
      </c>
      <c r="H5" s="10"/>
      <c r="I5" s="10"/>
      <c r="J5" s="10"/>
      <c r="K5" s="10"/>
      <c r="L5" s="10"/>
      <c r="M5" s="10"/>
      <c r="N5" s="10"/>
      <c r="O5" s="11"/>
    </row>
    <row r="6" spans="1:15">
      <c r="A6" s="14" t="s">
        <v>77</v>
      </c>
      <c r="B6" s="15">
        <v>360000</v>
      </c>
      <c r="C6" s="20" t="s">
        <v>74</v>
      </c>
      <c r="D6" s="17">
        <f>IF(Fixed_Expenses[[#This Row],[Frequency]]="Monthly", Fixed_Expenses[[#This Row],[Cost]], IF(Fixed_Expenses[[#This Row],[Frequency]]="Yearly", Fixed_Expenses[[#This Row],[Cost]]/12, 0))</f>
        <v>30000</v>
      </c>
      <c r="E6" s="17">
        <f>IF(Fixed_Expenses[[#This Row],[Frequency]]="Monthly", Fixed_Expenses[[#This Row],[Cost]], IF(Fixed_Expenses[[#This Row],[Frequency]]="Yearly", Fixed_Expenses[[#This Row],[Cost]]/12, 0))</f>
        <v>30000</v>
      </c>
      <c r="F6" s="17">
        <f>IF(Fixed_Expenses[[#This Row],[Frequency]]="Monthly", Fixed_Expenses[[#This Row],[Cost]], IF(Fixed_Expenses[[#This Row],[Frequency]]="Yearly", Fixed_Expenses[[#This Row],[Cost]]/12, 0))</f>
        <v>30000</v>
      </c>
      <c r="G6" s="17">
        <f>IF(Fixed_Expenses[[#This Row],[Frequency]]="Monthly", Fixed_Expenses[[#This Row],[Cost]], IF(Fixed_Expenses[[#This Row],[Frequency]]="Yearly", Fixed_Expenses[[#This Row],[Cost]]/12, 0))</f>
        <v>30000</v>
      </c>
      <c r="H6" s="7"/>
      <c r="I6" s="7"/>
      <c r="J6" s="7"/>
      <c r="K6" s="7"/>
      <c r="L6" s="7"/>
      <c r="M6" s="7"/>
      <c r="N6" s="7"/>
      <c r="O6" s="8"/>
    </row>
    <row r="7" spans="1:15">
      <c r="A7" s="14" t="s">
        <v>78</v>
      </c>
      <c r="B7" s="15">
        <v>540000</v>
      </c>
      <c r="C7" s="20" t="s">
        <v>74</v>
      </c>
      <c r="D7" s="17">
        <f>IF(Fixed_Expenses[[#This Row],[Frequency]]="Monthly", Fixed_Expenses[[#This Row],[Cost]], IF(Fixed_Expenses[[#This Row],[Frequency]]="Yearly", Fixed_Expenses[[#This Row],[Cost]]/12, 0))</f>
        <v>45000</v>
      </c>
      <c r="E7" s="17">
        <f>IF(Fixed_Expenses[[#This Row],[Frequency]]="Monthly", Fixed_Expenses[[#This Row],[Cost]], IF(Fixed_Expenses[[#This Row],[Frequency]]="Yearly", Fixed_Expenses[[#This Row],[Cost]]/12, 0))</f>
        <v>45000</v>
      </c>
      <c r="F7" s="17">
        <f>IF(Fixed_Expenses[[#This Row],[Frequency]]="Monthly", Fixed_Expenses[[#This Row],[Cost]], IF(Fixed_Expenses[[#This Row],[Frequency]]="Yearly", Fixed_Expenses[[#This Row],[Cost]]/12, 0))</f>
        <v>45000</v>
      </c>
      <c r="G7" s="17">
        <f>IF(Fixed_Expenses[[#This Row],[Frequency]]="Monthly", Fixed_Expenses[[#This Row],[Cost]], IF(Fixed_Expenses[[#This Row],[Frequency]]="Yearly", Fixed_Expenses[[#This Row],[Cost]]/12, 0))</f>
        <v>45000</v>
      </c>
      <c r="H7" s="7"/>
      <c r="I7" s="7"/>
      <c r="J7" s="7"/>
      <c r="K7" s="7"/>
      <c r="L7" s="7"/>
      <c r="M7" s="7"/>
      <c r="N7" s="7"/>
      <c r="O7" s="8"/>
    </row>
    <row r="8" spans="1:15">
      <c r="A8" s="14" t="s">
        <v>79</v>
      </c>
      <c r="B8" s="15"/>
      <c r="C8" s="16" t="s">
        <v>57</v>
      </c>
      <c r="D8" s="17">
        <f>IF(Fixed_Expenses[[#This Row],[Frequency]]="Monthly", Fixed_Expenses[[#This Row],[Cost]], IF(Fixed_Expenses[[#This Row],[Frequency]]="Yearly", Fixed_Expenses[[#This Row],[Cost]]/12, 0))</f>
        <v>0</v>
      </c>
      <c r="E8" s="17">
        <f>IF(Fixed_Expenses[[#This Row],[Frequency]]="Monthly", Fixed_Expenses[[#This Row],[Cost]], IF(Fixed_Expenses[[#This Row],[Frequency]]="Yearly", Fixed_Expenses[[#This Row],[Cost]]/12, 0))</f>
        <v>0</v>
      </c>
      <c r="F8" s="17">
        <f>IF(Fixed_Expenses[[#This Row],[Frequency]]="Monthly", Fixed_Expenses[[#This Row],[Cost]], IF(Fixed_Expenses[[#This Row],[Frequency]]="Yearly", Fixed_Expenses[[#This Row],[Cost]]/12, 0))</f>
        <v>0</v>
      </c>
      <c r="G8" s="17">
        <f>IF(Fixed_Expenses[[#This Row],[Frequency]]="Monthly", Fixed_Expenses[[#This Row],[Cost]], IF(Fixed_Expenses[[#This Row],[Frequency]]="Yearly", Fixed_Expenses[[#This Row],[Cost]]/12, 0))</f>
        <v>0</v>
      </c>
      <c r="H8" s="7"/>
      <c r="I8" s="7"/>
      <c r="J8" s="7"/>
      <c r="K8" s="7"/>
      <c r="L8" s="7"/>
      <c r="M8" s="7"/>
      <c r="N8" s="7"/>
      <c r="O8" s="8"/>
    </row>
    <row r="9" spans="1:15">
      <c r="A9" s="18" t="s">
        <v>80</v>
      </c>
      <c r="B9" s="19">
        <v>11447</v>
      </c>
      <c r="C9" s="20" t="s">
        <v>74</v>
      </c>
      <c r="D9" s="21">
        <f>IF(Fixed_Expenses[[#This Row],[Frequency]]="Monthly", Fixed_Expenses[[#This Row],[Cost]], IF(Fixed_Expenses[[#This Row],[Frequency]]="Yearly", Fixed_Expenses[[#This Row],[Cost]]/12, 0))</f>
        <v>953.91666666666663</v>
      </c>
      <c r="E9" s="21">
        <f>IF(Fixed_Expenses[[#This Row],[Frequency]]="Monthly", Fixed_Expenses[[#This Row],[Cost]], IF(Fixed_Expenses[[#This Row],[Frequency]]="Yearly", Fixed_Expenses[[#This Row],[Cost]]/12, 0))</f>
        <v>953.91666666666663</v>
      </c>
      <c r="F9" s="21">
        <f>IF(Fixed_Expenses[[#This Row],[Frequency]]="Monthly", Fixed_Expenses[[#This Row],[Cost]], IF(Fixed_Expenses[[#This Row],[Frequency]]="Yearly", Fixed_Expenses[[#This Row],[Cost]]/12, 0))</f>
        <v>953.91666666666663</v>
      </c>
      <c r="G9" s="17">
        <f>IF(Fixed_Expenses[[#This Row],[Frequency]]="Monthly", Fixed_Expenses[[#This Row],[Cost]], IF(Fixed_Expenses[[#This Row],[Frequency]]="Yearly", Fixed_Expenses[[#This Row],[Cost]]/12, 0))</f>
        <v>953.91666666666663</v>
      </c>
      <c r="H9" s="10"/>
      <c r="I9" s="10"/>
      <c r="J9" s="10"/>
      <c r="K9" s="10"/>
      <c r="L9" s="10"/>
      <c r="M9" s="10"/>
      <c r="N9" s="10"/>
      <c r="O9" s="11"/>
    </row>
    <row r="10" spans="1:15">
      <c r="A10" s="18" t="s">
        <v>81</v>
      </c>
      <c r="B10" s="19">
        <v>11050</v>
      </c>
      <c r="C10" s="20" t="s">
        <v>74</v>
      </c>
      <c r="D10" s="21">
        <f>IF(Fixed_Expenses[[#This Row],[Frequency]]="Monthly", Fixed_Expenses[[#This Row],[Cost]], IF(Fixed_Expenses[[#This Row],[Frequency]]="Yearly", Fixed_Expenses[[#This Row],[Cost]]/12, 0))</f>
        <v>920.83333333333337</v>
      </c>
      <c r="E10" s="21">
        <f>IF(Fixed_Expenses[[#This Row],[Frequency]]="Monthly", Fixed_Expenses[[#This Row],[Cost]], IF(Fixed_Expenses[[#This Row],[Frequency]]="Yearly", Fixed_Expenses[[#This Row],[Cost]]/12, 0))</f>
        <v>920.83333333333337</v>
      </c>
      <c r="F10" s="21">
        <f>IF(Fixed_Expenses[[#This Row],[Frequency]]="Monthly", Fixed_Expenses[[#This Row],[Cost]], IF(Fixed_Expenses[[#This Row],[Frequency]]="Yearly", Fixed_Expenses[[#This Row],[Cost]]/12, 0))</f>
        <v>920.83333333333337</v>
      </c>
      <c r="G10" s="17">
        <f>IF(Fixed_Expenses[[#This Row],[Frequency]]="Monthly", Fixed_Expenses[[#This Row],[Cost]], IF(Fixed_Expenses[[#This Row],[Frequency]]="Yearly", Fixed_Expenses[[#This Row],[Cost]]/12, 0))</f>
        <v>920.83333333333337</v>
      </c>
      <c r="H10" s="10"/>
      <c r="I10" s="10"/>
      <c r="J10" s="10"/>
      <c r="K10" s="10"/>
      <c r="L10" s="10"/>
      <c r="M10" s="10"/>
      <c r="N10" s="10"/>
      <c r="O10" s="11"/>
    </row>
    <row r="11" spans="1:15">
      <c r="A11" s="14" t="s">
        <v>82</v>
      </c>
      <c r="B11" s="15"/>
      <c r="C11" s="16" t="s">
        <v>74</v>
      </c>
      <c r="D11" s="17">
        <f>IF(Fixed_Expenses[[#This Row],[Frequency]]="Monthly", Fixed_Expenses[[#This Row],[Cost]], IF(Fixed_Expenses[[#This Row],[Frequency]]="Yearly", Fixed_Expenses[[#This Row],[Cost]]/12, 0))</f>
        <v>0</v>
      </c>
      <c r="E11" s="17">
        <f>IF(Fixed_Expenses[[#This Row],[Frequency]]="Monthly", Fixed_Expenses[[#This Row],[Cost]], IF(Fixed_Expenses[[#This Row],[Frequency]]="Yearly", Fixed_Expenses[[#This Row],[Cost]]/12, 0))</f>
        <v>0</v>
      </c>
      <c r="F11" s="17">
        <f>IF(Fixed_Expenses[[#This Row],[Frequency]]="Monthly", Fixed_Expenses[[#This Row],[Cost]], IF(Fixed_Expenses[[#This Row],[Frequency]]="Yearly", Fixed_Expenses[[#This Row],[Cost]]/12, 0))</f>
        <v>0</v>
      </c>
      <c r="G11" s="17">
        <f>IF(Fixed_Expenses[[#This Row],[Frequency]]="Monthly", Fixed_Expenses[[#This Row],[Cost]], IF(Fixed_Expenses[[#This Row],[Frequency]]="Yearly", Fixed_Expenses[[#This Row],[Cost]]/12, 0))</f>
        <v>0</v>
      </c>
      <c r="H11" s="7"/>
      <c r="I11" s="7"/>
      <c r="J11" s="7"/>
      <c r="K11" s="7"/>
      <c r="L11" s="7"/>
      <c r="M11" s="7"/>
      <c r="N11" s="7"/>
      <c r="O11" s="8"/>
    </row>
    <row r="12" spans="1:15">
      <c r="A12" s="14" t="s">
        <v>83</v>
      </c>
      <c r="B12" s="15"/>
      <c r="C12" s="16" t="s">
        <v>74</v>
      </c>
      <c r="D12" s="17">
        <f>IF(Fixed_Expenses[[#This Row],[Frequency]]="Monthly", Fixed_Expenses[[#This Row],[Cost]], IF(Fixed_Expenses[[#This Row],[Frequency]]="Yearly", Fixed_Expenses[[#This Row],[Cost]]/12, 0))</f>
        <v>0</v>
      </c>
      <c r="E12" s="17">
        <f>IF(Fixed_Expenses[[#This Row],[Frequency]]="Monthly", Fixed_Expenses[[#This Row],[Cost]], IF(Fixed_Expenses[[#This Row],[Frequency]]="Yearly", Fixed_Expenses[[#This Row],[Cost]]/12, 0))</f>
        <v>0</v>
      </c>
      <c r="F12" s="17">
        <f>IF(Fixed_Expenses[[#This Row],[Frequency]]="Monthly", Fixed_Expenses[[#This Row],[Cost]], IF(Fixed_Expenses[[#This Row],[Frequency]]="Yearly", Fixed_Expenses[[#This Row],[Cost]]/12, 0))</f>
        <v>0</v>
      </c>
      <c r="G12" s="17">
        <f>IF(Fixed_Expenses[[#This Row],[Frequency]]="Monthly", Fixed_Expenses[[#This Row],[Cost]], IF(Fixed_Expenses[[#This Row],[Frequency]]="Yearly", Fixed_Expenses[[#This Row],[Cost]]/12, 0))</f>
        <v>0</v>
      </c>
      <c r="H12" s="7"/>
      <c r="I12" s="7"/>
      <c r="J12" s="7"/>
      <c r="K12" s="7"/>
      <c r="L12" s="7"/>
      <c r="M12" s="7"/>
      <c r="N12" s="7"/>
      <c r="O12" s="8"/>
    </row>
    <row r="13" spans="1:15">
      <c r="A13" s="14"/>
      <c r="B13" s="15"/>
      <c r="C13" s="16"/>
      <c r="D13" s="17">
        <f>IF(Fixed_Expenses[[#This Row],[Frequency]]="Monthly", Fixed_Expenses[[#This Row],[Cost]], IF(Fixed_Expenses[[#This Row],[Frequency]]="Yearly", Fixed_Expenses[[#This Row],[Cost]]/12, 0))</f>
        <v>0</v>
      </c>
      <c r="E13" s="17">
        <f>IF(Fixed_Expenses[[#This Row],[Frequency]]="Monthly", Fixed_Expenses[[#This Row],[Cost]], IF(Fixed_Expenses[[#This Row],[Frequency]]="Yearly", Fixed_Expenses[[#This Row],[Cost]]/12, 0))</f>
        <v>0</v>
      </c>
      <c r="F13" s="17">
        <f>IF(Fixed_Expenses[[#This Row],[Frequency]]="Monthly", Fixed_Expenses[[#This Row],[Cost]], IF(Fixed_Expenses[[#This Row],[Frequency]]="Yearly", Fixed_Expenses[[#This Row],[Cost]]/12, 0))</f>
        <v>0</v>
      </c>
      <c r="G13" s="17">
        <f>IF(Fixed_Expenses[[#This Row],[Frequency]]="Monthly", Fixed_Expenses[[#This Row],[Cost]], IF(Fixed_Expenses[[#This Row],[Frequency]]="Yearly", Fixed_Expenses[[#This Row],[Cost]]/12, 0))</f>
        <v>0</v>
      </c>
      <c r="H13" s="7"/>
      <c r="I13" s="7"/>
      <c r="J13" s="7"/>
      <c r="K13" s="7"/>
      <c r="L13" s="7"/>
      <c r="M13" s="7"/>
      <c r="N13" s="7"/>
      <c r="O13" s="8"/>
    </row>
    <row r="15" spans="1:15">
      <c r="D15" s="2"/>
    </row>
  </sheetData>
  <phoneticPr fontId="1" type="noConversion"/>
  <pageMargins left="0.7" right="0.7" top="0.75" bottom="0.75" header="0.3" footer="0.3"/>
  <ignoredErrors>
    <ignoredError sqref="G3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74DF-A6D8-D44B-BC21-5EE7FE6DAA4C}">
  <dimension ref="B3:L34"/>
  <sheetViews>
    <sheetView topLeftCell="E7" workbookViewId="0">
      <selection activeCell="G17" sqref="G17"/>
    </sheetView>
  </sheetViews>
  <sheetFormatPr defaultColWidth="11" defaultRowHeight="15.95"/>
  <cols>
    <col min="2" max="2" width="25.625" bestFit="1" customWidth="1"/>
    <col min="3" max="3" width="21.125" bestFit="1" customWidth="1"/>
    <col min="4" max="4" width="24.5" bestFit="1" customWidth="1"/>
    <col min="5" max="6" width="17.5" bestFit="1" customWidth="1"/>
    <col min="7" max="7" width="20" bestFit="1" customWidth="1"/>
    <col min="8" max="8" width="19.125" bestFit="1" customWidth="1"/>
    <col min="9" max="9" width="24.125" customWidth="1"/>
    <col min="10" max="10" width="15.625" customWidth="1"/>
    <col min="11" max="11" width="40" customWidth="1"/>
    <col min="12" max="12" width="32" bestFit="1" customWidth="1"/>
  </cols>
  <sheetData>
    <row r="3" spans="2:12" ht="18.95">
      <c r="B3" s="51" t="s">
        <v>84</v>
      </c>
      <c r="C3" s="51" t="s">
        <v>85</v>
      </c>
      <c r="D3" s="51" t="s">
        <v>86</v>
      </c>
      <c r="E3" s="51" t="s">
        <v>60</v>
      </c>
      <c r="F3" s="51" t="s">
        <v>87</v>
      </c>
      <c r="G3" s="51" t="s">
        <v>59</v>
      </c>
      <c r="H3" s="51" t="s">
        <v>88</v>
      </c>
      <c r="I3" s="51" t="s">
        <v>89</v>
      </c>
      <c r="J3" s="51" t="s">
        <v>90</v>
      </c>
      <c r="K3" s="51" t="s">
        <v>91</v>
      </c>
      <c r="L3" s="51" t="s">
        <v>92</v>
      </c>
    </row>
    <row r="4" spans="2:12">
      <c r="B4" s="65" t="s">
        <v>39</v>
      </c>
      <c r="C4" s="65" t="str">
        <f>_xlfn.XLOOKUP(MaintLog[[#This Row],[Vehicle Reg]],Table10[Vehicle Reg],Table10[Vehicle Type],"Not Found",0)</f>
        <v>Lorry</v>
      </c>
      <c r="D4" s="65" t="s">
        <v>93</v>
      </c>
      <c r="E4" s="74" t="str">
        <f>_xlfn.XLOOKUP(MaintLog[[#This Row],[Task]],Table8[Maintenance],Table8[Frequency],0,0)</f>
        <v>10,000 km</v>
      </c>
      <c r="F4" s="74"/>
      <c r="G4" s="69"/>
      <c r="H4" s="71"/>
      <c r="I4" s="66"/>
      <c r="J4" s="66"/>
      <c r="K4" s="66"/>
    </row>
    <row r="5" spans="2:12">
      <c r="B5" s="65" t="s">
        <v>94</v>
      </c>
      <c r="C5" s="65" t="str">
        <f>_xlfn.XLOOKUP(MaintLog[[#This Row],[Vehicle Reg]],Table10[Vehicle Reg],Table10[Vehicle Type],"Not Found",0)</f>
        <v>Trailer</v>
      </c>
      <c r="D5" s="65" t="s">
        <v>95</v>
      </c>
      <c r="E5" s="74" t="str">
        <f>_xlfn.XLOOKUP(MaintLog[[#This Row],[Task]],Table8[Maintenance],Table8[Frequency],0,0)</f>
        <v>15,000 km</v>
      </c>
      <c r="F5" s="74"/>
      <c r="G5" s="69"/>
      <c r="H5" s="71"/>
      <c r="I5" s="66"/>
      <c r="J5" s="66"/>
      <c r="K5" s="66"/>
    </row>
    <row r="6" spans="2:12">
      <c r="B6" s="65" t="s">
        <v>94</v>
      </c>
      <c r="C6" s="65" t="str">
        <f>_xlfn.XLOOKUP(MaintLog[[#This Row],[Vehicle Reg]],Table10[Vehicle Reg],Table10[Vehicle Type],"Not Found",0)</f>
        <v>Trailer</v>
      </c>
      <c r="D6" s="65" t="s">
        <v>96</v>
      </c>
      <c r="E6" s="74" t="str">
        <f>_xlfn.XLOOKUP(MaintLog[[#This Row],[Task]],Table8[Maintenance],Table8[Frequency],0,0)</f>
        <v>15,000 km</v>
      </c>
      <c r="F6" s="74"/>
      <c r="G6" s="69"/>
      <c r="H6" s="71"/>
      <c r="I6" s="66"/>
      <c r="J6" s="66"/>
      <c r="K6" s="66"/>
    </row>
    <row r="7" spans="2:12" s="57" customFormat="1" ht="51">
      <c r="B7" s="65" t="s">
        <v>94</v>
      </c>
      <c r="C7" s="65" t="str">
        <f>_xlfn.XLOOKUP(MaintLog[[#This Row],[Vehicle Reg]],Table10[Vehicle Reg],Table10[Vehicle Type],"Not Found",0)</f>
        <v>Trailer</v>
      </c>
      <c r="D7" s="72" t="s">
        <v>97</v>
      </c>
      <c r="E7" s="66">
        <f>_xlfn.XLOOKUP(MaintLog[[#This Row],[Task]],Table8[Maintenance],Table8[Frequency],0,0)</f>
        <v>0</v>
      </c>
      <c r="F7" s="66">
        <v>1</v>
      </c>
      <c r="G7" s="69">
        <v>1580</v>
      </c>
      <c r="H7" s="71">
        <v>45728</v>
      </c>
      <c r="I7" s="66"/>
      <c r="J7" s="66"/>
      <c r="K7" s="67" t="s">
        <v>98</v>
      </c>
    </row>
    <row r="8" spans="2:12" ht="33.950000000000003">
      <c r="B8" s="65" t="s">
        <v>39</v>
      </c>
      <c r="C8" s="65" t="str">
        <f>_xlfn.XLOOKUP(MaintLog[[#This Row],[Vehicle Reg]],Table10[Vehicle Reg],Table10[Vehicle Type],"Not Found",0)</f>
        <v>Lorry</v>
      </c>
      <c r="D8" s="72" t="s">
        <v>97</v>
      </c>
      <c r="E8" s="66">
        <f>_xlfn.XLOOKUP(MaintLog[[#This Row],[Task]],Table8[Maintenance],Table8[Frequency],0,0)</f>
        <v>0</v>
      </c>
      <c r="F8" s="66">
        <v>1</v>
      </c>
      <c r="G8" s="69">
        <v>6465</v>
      </c>
      <c r="H8" s="71">
        <v>45740</v>
      </c>
      <c r="I8" s="66"/>
      <c r="J8" s="66"/>
      <c r="K8" s="67" t="s">
        <v>99</v>
      </c>
    </row>
    <row r="9" spans="2:12">
      <c r="B9" s="65" t="s">
        <v>39</v>
      </c>
      <c r="C9" s="65" t="str">
        <f>_xlfn.XLOOKUP(MaintLog[[#This Row],[Vehicle Reg]],Table10[Vehicle Reg],Table10[Vehicle Type],"Not Found",0)</f>
        <v>Lorry</v>
      </c>
      <c r="D9" s="72" t="s">
        <v>97</v>
      </c>
      <c r="E9" s="66">
        <f>_xlfn.XLOOKUP(MaintLog[[#This Row],[Task]],Table8[Maintenance],Table8[Frequency],0,0)</f>
        <v>0</v>
      </c>
      <c r="F9" s="66"/>
      <c r="G9" s="69">
        <v>5000</v>
      </c>
      <c r="H9" s="71">
        <v>45750</v>
      </c>
      <c r="I9" s="66"/>
      <c r="J9" s="66"/>
      <c r="K9" s="66" t="s">
        <v>100</v>
      </c>
    </row>
    <row r="10" spans="2:12" ht="51">
      <c r="B10" s="65" t="s">
        <v>39</v>
      </c>
      <c r="C10" s="65" t="str">
        <f>_xlfn.XLOOKUP(MaintLog[[#This Row],[Vehicle Reg]],Table10[Vehicle Reg],Table10[Vehicle Type],"Not Found",0)</f>
        <v>Lorry</v>
      </c>
      <c r="D10" s="72" t="s">
        <v>97</v>
      </c>
      <c r="E10" s="66">
        <f>_xlfn.XLOOKUP(MaintLog[[#This Row],[Task]],Table8[Maintenance],Table8[Frequency],0,0)</f>
        <v>0</v>
      </c>
      <c r="F10" s="66"/>
      <c r="G10" s="69">
        <v>5500</v>
      </c>
      <c r="H10" s="71">
        <v>45751</v>
      </c>
      <c r="I10" s="66"/>
      <c r="J10" s="66"/>
      <c r="K10" s="67" t="s">
        <v>101</v>
      </c>
    </row>
    <row r="11" spans="2:12">
      <c r="B11" s="65" t="s">
        <v>39</v>
      </c>
      <c r="C11" s="65" t="str">
        <f>_xlfn.XLOOKUP(MaintLog[[#This Row],[Vehicle Reg]],Table10[Vehicle Reg],Table10[Vehicle Type],"Not Found",0)</f>
        <v>Lorry</v>
      </c>
      <c r="D11" s="72" t="s">
        <v>102</v>
      </c>
      <c r="E11" s="66" t="str">
        <f>_xlfn.XLOOKUP(MaintLog[[#This Row],[Task]],Table8[Maintenance],Table8[Frequency],0,0)</f>
        <v>Every 50,000 km</v>
      </c>
      <c r="F11" s="66">
        <v>2</v>
      </c>
      <c r="G11" s="69">
        <v>70000</v>
      </c>
      <c r="H11" s="71">
        <v>45754</v>
      </c>
      <c r="I11" s="66"/>
      <c r="J11" s="66"/>
      <c r="K11" s="66" t="s">
        <v>103</v>
      </c>
    </row>
    <row r="12" spans="2:12">
      <c r="B12" s="65" t="s">
        <v>39</v>
      </c>
      <c r="C12" s="65" t="str">
        <f>_xlfn.XLOOKUP(MaintLog[[#This Row],[Vehicle Reg]],Table10[Vehicle Reg],Table10[Vehicle Type],"Not Found",0)</f>
        <v>Lorry</v>
      </c>
      <c r="D12" s="6" t="s">
        <v>102</v>
      </c>
      <c r="E12" s="6" t="str">
        <f>_xlfn.XLOOKUP(MaintLog[[#This Row],[Task]],Table8[Maintenance],Table8[Frequency],0,0)</f>
        <v>Every 50,000 km</v>
      </c>
      <c r="F12" s="6">
        <v>2</v>
      </c>
      <c r="G12" s="68">
        <v>94000</v>
      </c>
      <c r="H12" s="70">
        <v>45767</v>
      </c>
      <c r="I12" s="6"/>
      <c r="J12" s="6"/>
      <c r="K12" s="6"/>
    </row>
    <row r="13" spans="2:12">
      <c r="B13" s="65" t="s">
        <v>94</v>
      </c>
      <c r="C13" s="65" t="str">
        <f>_xlfn.XLOOKUP(MaintLog[[#This Row],[Vehicle Reg]],Table10[Vehicle Reg],Table10[Vehicle Type],"Not Found",0)</f>
        <v>Trailer</v>
      </c>
      <c r="D13" s="6" t="s">
        <v>97</v>
      </c>
      <c r="E13" s="6"/>
      <c r="F13" s="6">
        <v>1</v>
      </c>
      <c r="G13" s="68">
        <v>13000</v>
      </c>
      <c r="H13" s="70">
        <v>45772</v>
      </c>
      <c r="I13" s="6"/>
      <c r="J13" s="6"/>
      <c r="K13" s="6" t="s">
        <v>104</v>
      </c>
    </row>
    <row r="14" spans="2:12">
      <c r="B14" s="65" t="s">
        <v>39</v>
      </c>
      <c r="C14" s="65" t="str">
        <f>_xlfn.XLOOKUP(MaintLog[[#This Row],[Vehicle Reg]],Table10[Vehicle Reg],Table10[Vehicle Type],"Not Found",0)</f>
        <v>Lorry</v>
      </c>
      <c r="D14" s="6" t="s">
        <v>97</v>
      </c>
      <c r="E14" s="6"/>
      <c r="F14" s="6">
        <v>2</v>
      </c>
      <c r="G14" s="68">
        <v>18000</v>
      </c>
      <c r="H14" s="70">
        <v>45774</v>
      </c>
      <c r="I14" s="6"/>
      <c r="J14" s="6"/>
      <c r="K14" s="6" t="s">
        <v>105</v>
      </c>
    </row>
    <row r="15" spans="2:12">
      <c r="B15" s="65" t="s">
        <v>39</v>
      </c>
      <c r="C15" s="65" t="str">
        <f>_xlfn.XLOOKUP(MaintLog[[#This Row],[Vehicle Reg]],Table10[Vehicle Reg],Table10[Vehicle Type],"Not Found",0)</f>
        <v>Lorry</v>
      </c>
      <c r="D15" s="6" t="s">
        <v>97</v>
      </c>
      <c r="E15" s="6"/>
      <c r="F15" s="6">
        <v>1</v>
      </c>
      <c r="G15" s="68">
        <v>3000</v>
      </c>
      <c r="H15" s="70">
        <v>45774</v>
      </c>
      <c r="I15" s="6"/>
      <c r="J15" s="6"/>
      <c r="K15" s="6" t="s">
        <v>106</v>
      </c>
    </row>
    <row r="16" spans="2:12">
      <c r="B16" s="65" t="s">
        <v>39</v>
      </c>
      <c r="C16" s="65" t="str">
        <f>_xlfn.XLOOKUP(MaintLog[[#This Row],[Vehicle Reg]],Table10[Vehicle Reg],Table10[Vehicle Type],"Not Found",0)</f>
        <v>Lorry</v>
      </c>
      <c r="D16" s="6" t="s">
        <v>97</v>
      </c>
      <c r="E16" s="6"/>
      <c r="F16" s="6">
        <v>1</v>
      </c>
      <c r="G16" s="68">
        <v>49500</v>
      </c>
      <c r="H16" s="70">
        <v>45778</v>
      </c>
      <c r="I16" s="6"/>
      <c r="J16" s="6"/>
      <c r="K16" s="6" t="s">
        <v>107</v>
      </c>
      <c r="L16" t="s">
        <v>108</v>
      </c>
    </row>
    <row r="17" spans="2:11">
      <c r="B17" s="65"/>
      <c r="C17" s="52"/>
      <c r="D17" s="6"/>
      <c r="E17" s="6"/>
      <c r="F17" s="6"/>
      <c r="G17" s="68" t="s">
        <v>109</v>
      </c>
      <c r="H17" s="70">
        <v>45815</v>
      </c>
      <c r="I17" s="6"/>
      <c r="J17" s="6"/>
      <c r="K17" s="6" t="s">
        <v>110</v>
      </c>
    </row>
    <row r="18" spans="2:11">
      <c r="B18" s="65"/>
      <c r="C18" s="52"/>
      <c r="D18" s="6"/>
      <c r="E18" s="6"/>
      <c r="F18" s="6"/>
      <c r="G18" s="68">
        <v>37500</v>
      </c>
      <c r="H18" s="70">
        <v>45827</v>
      </c>
      <c r="I18" s="6"/>
      <c r="J18" s="6"/>
      <c r="K18" s="6" t="s">
        <v>111</v>
      </c>
    </row>
    <row r="19" spans="2:11">
      <c r="B19" s="65"/>
      <c r="C19" s="52"/>
      <c r="D19" s="6"/>
      <c r="E19" s="6"/>
      <c r="F19" s="6"/>
      <c r="G19" s="68"/>
      <c r="H19" s="70"/>
      <c r="I19" s="6"/>
      <c r="J19" s="6"/>
      <c r="K19" s="6"/>
    </row>
    <row r="20" spans="2:11">
      <c r="B20" s="65"/>
      <c r="C20" s="52"/>
      <c r="D20" s="6"/>
      <c r="E20" s="6"/>
      <c r="F20" s="6"/>
      <c r="G20" s="68"/>
      <c r="H20" s="70"/>
      <c r="I20" s="6"/>
      <c r="J20" s="6"/>
      <c r="K20" s="6"/>
    </row>
    <row r="21" spans="2:11">
      <c r="B21" s="43"/>
      <c r="C21" s="44"/>
    </row>
    <row r="22" spans="2:11">
      <c r="B22" s="43"/>
      <c r="C22" s="44"/>
      <c r="D22" t="s">
        <v>112</v>
      </c>
    </row>
    <row r="23" spans="2:11">
      <c r="B23" s="43"/>
      <c r="C23" s="44"/>
      <c r="D23" t="s">
        <v>113</v>
      </c>
      <c r="E23" t="s">
        <v>114</v>
      </c>
    </row>
    <row r="24" spans="2:11">
      <c r="B24" s="43"/>
      <c r="C24" s="44"/>
    </row>
    <row r="25" spans="2:11">
      <c r="B25" s="43"/>
      <c r="C25" s="44"/>
      <c r="D25" t="s">
        <v>115</v>
      </c>
    </row>
    <row r="26" spans="2:11">
      <c r="B26" s="43"/>
      <c r="C26" s="44"/>
      <c r="D26" t="s">
        <v>116</v>
      </c>
    </row>
    <row r="27" spans="2:11">
      <c r="B27" s="43"/>
      <c r="C27" s="44"/>
      <c r="D27" t="s">
        <v>117</v>
      </c>
    </row>
    <row r="28" spans="2:11">
      <c r="B28" s="43"/>
      <c r="C28" s="44"/>
    </row>
    <row r="29" spans="2:11">
      <c r="B29" s="43"/>
      <c r="C29" s="44"/>
    </row>
    <row r="30" spans="2:11">
      <c r="B30" s="43"/>
      <c r="C30" s="44"/>
    </row>
    <row r="31" spans="2:11">
      <c r="B31" s="43"/>
      <c r="C31" s="44"/>
    </row>
    <row r="32" spans="2:11">
      <c r="B32" s="43"/>
      <c r="C32" s="44"/>
    </row>
    <row r="33" spans="2:3">
      <c r="B33" s="43"/>
      <c r="C33" s="44"/>
    </row>
    <row r="34" spans="2:3">
      <c r="B34" s="43"/>
      <c r="C34" s="44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726D2B-20B7-164B-BA5E-F5086B56BB36}">
          <x14:formula1>
            <xm:f>'Input Data'!$E$3:$E$34</xm:f>
          </x14:formula1>
          <xm:sqref>D4:D13 D14:D20</xm:sqref>
        </x14:dataValidation>
        <x14:dataValidation type="list" allowBlank="1" showInputMessage="1" showErrorMessage="1" xr:uid="{482491F8-4B4D-9843-9FAB-14C8041FB3AE}">
          <x14:formula1>
            <xm:f>'Input Data'!$I$3:$I$4</xm:f>
          </x14:formula1>
          <xm:sqref>B4:B13 B14:B20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F685-E868-4449-8735-178EAC377929}">
  <dimension ref="B2:M10"/>
  <sheetViews>
    <sheetView workbookViewId="0">
      <selection activeCell="D12" sqref="D12"/>
    </sheetView>
  </sheetViews>
  <sheetFormatPr defaultColWidth="11" defaultRowHeight="15.95"/>
  <cols>
    <col min="2" max="2" width="17.375" customWidth="1"/>
    <col min="4" max="4" width="12.125" customWidth="1"/>
    <col min="8" max="8" width="13.625" bestFit="1" customWidth="1"/>
    <col min="9" max="9" width="10" customWidth="1"/>
  </cols>
  <sheetData>
    <row r="2" spans="2:13">
      <c r="B2" t="s">
        <v>118</v>
      </c>
      <c r="C2" t="s">
        <v>119</v>
      </c>
      <c r="D2" t="s">
        <v>120</v>
      </c>
      <c r="E2" t="s">
        <v>121</v>
      </c>
      <c r="H2" t="s">
        <v>122</v>
      </c>
      <c r="I2" t="s">
        <v>59</v>
      </c>
    </row>
    <row r="3" spans="2:13">
      <c r="B3" t="s">
        <v>123</v>
      </c>
      <c r="C3">
        <v>2700</v>
      </c>
      <c r="D3">
        <v>128</v>
      </c>
      <c r="E3">
        <f>C3*D3</f>
        <v>345600</v>
      </c>
      <c r="H3" t="s">
        <v>124</v>
      </c>
      <c r="I3" s="61">
        <v>20000</v>
      </c>
    </row>
    <row r="4" spans="2:13">
      <c r="H4" t="s">
        <v>125</v>
      </c>
      <c r="I4" s="61">
        <v>200000</v>
      </c>
      <c r="K4">
        <v>900</v>
      </c>
      <c r="L4">
        <v>164.8</v>
      </c>
      <c r="M4">
        <f>K4*L4</f>
        <v>148320</v>
      </c>
    </row>
    <row r="5" spans="2:13">
      <c r="H5" t="s">
        <v>31</v>
      </c>
      <c r="I5" s="61">
        <v>5000</v>
      </c>
      <c r="K5">
        <v>1200</v>
      </c>
      <c r="L5">
        <v>164.8</v>
      </c>
      <c r="M5">
        <f>K5*L5</f>
        <v>197760</v>
      </c>
    </row>
    <row r="6" spans="2:13">
      <c r="H6" t="s">
        <v>126</v>
      </c>
      <c r="I6" s="61">
        <v>0</v>
      </c>
    </row>
    <row r="7" spans="2:13">
      <c r="H7" t="s">
        <v>127</v>
      </c>
      <c r="I7" s="61">
        <f>1500*10</f>
        <v>15000</v>
      </c>
    </row>
    <row r="9" spans="2:13">
      <c r="B9" s="53" t="s">
        <v>128</v>
      </c>
      <c r="C9" s="53"/>
      <c r="D9" s="53"/>
      <c r="E9" s="53">
        <f>E3-I10</f>
        <v>105600</v>
      </c>
    </row>
    <row r="10" spans="2:13">
      <c r="H10" s="53" t="s">
        <v>129</v>
      </c>
      <c r="I10" s="53">
        <f>SUM(Table15[Cost])</f>
        <v>240000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F5B4-5DFE-924E-8967-5D2E0C82370B}">
  <dimension ref="A1:L27"/>
  <sheetViews>
    <sheetView workbookViewId="0">
      <selection activeCell="B14" sqref="B14"/>
    </sheetView>
  </sheetViews>
  <sheetFormatPr defaultColWidth="11" defaultRowHeight="15.95"/>
  <cols>
    <col min="1" max="1" width="17.5" bestFit="1" customWidth="1"/>
    <col min="2" max="2" width="14.125" customWidth="1"/>
    <col min="3" max="3" width="47.375" bestFit="1" customWidth="1"/>
    <col min="4" max="4" width="15.875" bestFit="1" customWidth="1"/>
    <col min="7" max="7" width="24.125" bestFit="1" customWidth="1"/>
    <col min="8" max="8" width="17.125" bestFit="1" customWidth="1"/>
    <col min="9" max="9" width="26.875" bestFit="1" customWidth="1"/>
    <col min="11" max="11" width="14.375" customWidth="1"/>
    <col min="12" max="12" width="14.125" customWidth="1"/>
  </cols>
  <sheetData>
    <row r="1" spans="1:12">
      <c r="A1" t="s">
        <v>130</v>
      </c>
    </row>
    <row r="2" spans="1:12">
      <c r="A2" t="s">
        <v>131</v>
      </c>
      <c r="B2" t="s">
        <v>132</v>
      </c>
      <c r="G2" t="s">
        <v>133</v>
      </c>
      <c r="H2" t="s">
        <v>134</v>
      </c>
      <c r="K2" t="s">
        <v>135</v>
      </c>
      <c r="L2" t="s">
        <v>136</v>
      </c>
    </row>
    <row r="3" spans="1:12">
      <c r="A3" t="s">
        <v>137</v>
      </c>
      <c r="B3" t="s">
        <v>138</v>
      </c>
      <c r="G3" t="s">
        <v>139</v>
      </c>
      <c r="H3" t="s">
        <v>140</v>
      </c>
      <c r="K3" t="s">
        <v>141</v>
      </c>
      <c r="L3" t="s">
        <v>142</v>
      </c>
    </row>
    <row r="5" spans="1:12">
      <c r="A5" t="s">
        <v>143</v>
      </c>
      <c r="B5" t="s">
        <v>144</v>
      </c>
      <c r="C5" t="s">
        <v>91</v>
      </c>
    </row>
    <row r="6" spans="1:12">
      <c r="A6" t="s">
        <v>145</v>
      </c>
      <c r="B6" t="s">
        <v>146</v>
      </c>
      <c r="C6" t="s">
        <v>147</v>
      </c>
      <c r="G6" s="55" t="s">
        <v>148</v>
      </c>
      <c r="H6" s="55"/>
    </row>
    <row r="7" spans="1:12">
      <c r="A7" t="s">
        <v>149</v>
      </c>
      <c r="B7" s="27" t="s">
        <v>150</v>
      </c>
      <c r="G7" s="55" t="s">
        <v>151</v>
      </c>
      <c r="H7" s="55" t="s">
        <v>152</v>
      </c>
    </row>
    <row r="8" spans="1:12">
      <c r="A8" t="s">
        <v>153</v>
      </c>
      <c r="B8" t="s">
        <v>154</v>
      </c>
      <c r="G8" s="55" t="s">
        <v>155</v>
      </c>
      <c r="H8" s="55" t="s">
        <v>156</v>
      </c>
    </row>
    <row r="9" spans="1:12">
      <c r="A9" t="s">
        <v>157</v>
      </c>
      <c r="B9" s="2">
        <v>32000</v>
      </c>
    </row>
    <row r="19" spans="2:9">
      <c r="G19" s="56"/>
      <c r="I19" s="56"/>
    </row>
    <row r="26" spans="2:9">
      <c r="B26" s="56"/>
    </row>
    <row r="27" spans="2:9">
      <c r="B27" s="56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BD5F-B1FE-884F-BF6C-C04EAECC952B}">
  <dimension ref="B2:Q58"/>
  <sheetViews>
    <sheetView topLeftCell="A47" workbookViewId="0">
      <selection activeCell="N50" sqref="N50"/>
    </sheetView>
  </sheetViews>
  <sheetFormatPr defaultColWidth="11" defaultRowHeight="15.95"/>
  <cols>
    <col min="2" max="2" width="20.875" bestFit="1" customWidth="1"/>
    <col min="3" max="3" width="28.125" bestFit="1" customWidth="1"/>
    <col min="4" max="4" width="19.5" bestFit="1" customWidth="1"/>
    <col min="9" max="9" width="23.375" bestFit="1" customWidth="1"/>
    <col min="10" max="10" width="25" bestFit="1" customWidth="1"/>
    <col min="11" max="11" width="25.625" customWidth="1"/>
    <col min="12" max="12" width="13.625" customWidth="1"/>
    <col min="13" max="13" width="11.875" bestFit="1" customWidth="1"/>
    <col min="14" max="14" width="20.125" customWidth="1"/>
    <col min="15" max="15" width="17.375" bestFit="1" customWidth="1"/>
    <col min="16" max="16" width="33.625" customWidth="1"/>
    <col min="17" max="17" width="11" customWidth="1"/>
  </cols>
  <sheetData>
    <row r="2" spans="2:14">
      <c r="J2" t="s">
        <v>158</v>
      </c>
      <c r="M2" t="s">
        <v>59</v>
      </c>
    </row>
    <row r="3" spans="2:14">
      <c r="B3" t="s">
        <v>159</v>
      </c>
      <c r="I3" t="s">
        <v>160</v>
      </c>
      <c r="K3" t="s">
        <v>161</v>
      </c>
    </row>
    <row r="4" spans="2:14">
      <c r="B4" t="s">
        <v>162</v>
      </c>
      <c r="I4" t="s">
        <v>163</v>
      </c>
      <c r="K4" t="s">
        <v>164</v>
      </c>
      <c r="N4" t="s">
        <v>165</v>
      </c>
    </row>
    <row r="6" spans="2:14">
      <c r="B6" t="s">
        <v>166</v>
      </c>
    </row>
    <row r="7" spans="2:14">
      <c r="B7" t="s">
        <v>167</v>
      </c>
      <c r="I7" s="56"/>
      <c r="K7" s="56"/>
    </row>
    <row r="9" spans="2:14">
      <c r="B9" t="s">
        <v>168</v>
      </c>
      <c r="I9" t="s">
        <v>59</v>
      </c>
      <c r="J9" t="s">
        <v>169</v>
      </c>
      <c r="K9" t="s">
        <v>170</v>
      </c>
    </row>
    <row r="10" spans="2:14">
      <c r="B10" t="s">
        <v>171</v>
      </c>
      <c r="C10" s="56" t="s">
        <v>172</v>
      </c>
      <c r="D10" t="s">
        <v>173</v>
      </c>
      <c r="J10" t="s">
        <v>174</v>
      </c>
      <c r="K10" t="s">
        <v>175</v>
      </c>
    </row>
    <row r="11" spans="2:14">
      <c r="D11" t="s">
        <v>176</v>
      </c>
    </row>
    <row r="12" spans="2:14">
      <c r="B12" t="s">
        <v>177</v>
      </c>
      <c r="C12" t="s">
        <v>178</v>
      </c>
    </row>
    <row r="14" spans="2:14">
      <c r="I14" t="s">
        <v>179</v>
      </c>
      <c r="J14" t="s">
        <v>59</v>
      </c>
    </row>
    <row r="15" spans="2:14">
      <c r="I15" t="s">
        <v>180</v>
      </c>
      <c r="J15">
        <v>251000</v>
      </c>
    </row>
    <row r="16" spans="2:14">
      <c r="I16" t="s">
        <v>181</v>
      </c>
    </row>
    <row r="18" spans="2:17">
      <c r="B18" t="s">
        <v>179</v>
      </c>
    </row>
    <row r="20" spans="2:17">
      <c r="B20" t="s">
        <v>182</v>
      </c>
      <c r="C20" t="s">
        <v>183</v>
      </c>
      <c r="D20" t="s">
        <v>184</v>
      </c>
      <c r="I20" t="s">
        <v>185</v>
      </c>
      <c r="J20" s="56" t="s">
        <v>186</v>
      </c>
    </row>
    <row r="21" spans="2:17">
      <c r="B21" t="s">
        <v>187</v>
      </c>
      <c r="C21" s="56" t="s">
        <v>188</v>
      </c>
      <c r="I21" t="s">
        <v>189</v>
      </c>
      <c r="J21" t="s">
        <v>190</v>
      </c>
    </row>
    <row r="22" spans="2:17">
      <c r="C22" s="56" t="s">
        <v>191</v>
      </c>
      <c r="I22" t="s">
        <v>171</v>
      </c>
      <c r="J22" t="s">
        <v>192</v>
      </c>
      <c r="K22" t="s">
        <v>193</v>
      </c>
    </row>
    <row r="23" spans="2:17">
      <c r="I23" t="s">
        <v>144</v>
      </c>
      <c r="J23" t="s">
        <v>194</v>
      </c>
    </row>
    <row r="24" spans="2:17">
      <c r="B24" t="s">
        <v>195</v>
      </c>
      <c r="C24" t="s">
        <v>196</v>
      </c>
      <c r="D24" t="s">
        <v>197</v>
      </c>
    </row>
    <row r="25" spans="2:17">
      <c r="C25" t="s">
        <v>198</v>
      </c>
      <c r="D25" t="s">
        <v>199</v>
      </c>
    </row>
    <row r="28" spans="2:17">
      <c r="I28" t="s">
        <v>200</v>
      </c>
      <c r="J28" t="s">
        <v>201</v>
      </c>
      <c r="K28" t="s">
        <v>202</v>
      </c>
      <c r="L28" t="s">
        <v>203</v>
      </c>
      <c r="M28" t="s">
        <v>134</v>
      </c>
      <c r="N28" t="s">
        <v>187</v>
      </c>
      <c r="O28" t="s">
        <v>204</v>
      </c>
      <c r="P28" t="s">
        <v>91</v>
      </c>
      <c r="Q28" t="s">
        <v>205</v>
      </c>
    </row>
    <row r="29" spans="2:17">
      <c r="I29" s="57" t="s">
        <v>206</v>
      </c>
      <c r="J29" s="57">
        <v>40</v>
      </c>
      <c r="K29" s="58">
        <v>395000</v>
      </c>
      <c r="L29" s="58">
        <v>6000</v>
      </c>
      <c r="M29" s="57" t="s">
        <v>207</v>
      </c>
      <c r="N29" s="57" t="s">
        <v>208</v>
      </c>
      <c r="O29" s="57" t="s">
        <v>209</v>
      </c>
      <c r="P29" s="57"/>
      <c r="Q29" s="57"/>
    </row>
    <row r="30" spans="2:17">
      <c r="I30" s="57"/>
      <c r="J30" s="57">
        <v>20</v>
      </c>
      <c r="K30" s="58">
        <v>199000</v>
      </c>
      <c r="L30" s="58">
        <v>4500</v>
      </c>
      <c r="M30" s="57" t="s">
        <v>207</v>
      </c>
      <c r="N30" s="57"/>
      <c r="O30" s="57"/>
      <c r="P30" s="57"/>
      <c r="Q30" s="57"/>
    </row>
    <row r="31" spans="2:17">
      <c r="I31" s="57"/>
      <c r="J31" s="57"/>
      <c r="K31" s="57"/>
      <c r="L31" s="57"/>
      <c r="M31" s="57"/>
      <c r="N31" s="57"/>
      <c r="O31" s="57"/>
      <c r="P31" s="57"/>
      <c r="Q31" s="57"/>
    </row>
    <row r="32" spans="2:17" ht="33.950000000000003">
      <c r="I32" s="62" t="s">
        <v>210</v>
      </c>
      <c r="J32" s="62">
        <v>40</v>
      </c>
      <c r="K32" s="63">
        <v>350000</v>
      </c>
      <c r="L32" s="63">
        <v>2000</v>
      </c>
      <c r="M32" s="62" t="s">
        <v>211</v>
      </c>
      <c r="N32" s="62"/>
      <c r="O32" s="62"/>
      <c r="P32" s="64" t="s">
        <v>212</v>
      </c>
      <c r="Q32" s="62"/>
    </row>
    <row r="33" spans="9:17">
      <c r="I33" s="62"/>
      <c r="J33" s="62">
        <v>20</v>
      </c>
      <c r="K33" s="63">
        <v>220000</v>
      </c>
      <c r="L33" s="63">
        <v>1800</v>
      </c>
      <c r="M33" s="62" t="s">
        <v>211</v>
      </c>
      <c r="N33" s="62"/>
      <c r="O33" s="62"/>
      <c r="P33" s="62"/>
      <c r="Q33" s="62"/>
    </row>
    <row r="34" spans="9:17">
      <c r="I34" s="57"/>
      <c r="J34" s="57"/>
      <c r="K34" s="57"/>
      <c r="L34" s="57"/>
      <c r="M34" s="57"/>
      <c r="N34" s="57"/>
      <c r="O34" s="57"/>
      <c r="P34" s="57"/>
      <c r="Q34" s="57"/>
    </row>
    <row r="35" spans="9:17">
      <c r="I35" s="59" t="s">
        <v>213</v>
      </c>
      <c r="J35" s="59">
        <v>40</v>
      </c>
      <c r="K35" s="60">
        <v>380000</v>
      </c>
      <c r="L35" s="60">
        <v>2500</v>
      </c>
      <c r="M35" s="59" t="s">
        <v>211</v>
      </c>
      <c r="N35" s="59" t="s">
        <v>214</v>
      </c>
      <c r="O35" s="59" t="s">
        <v>215</v>
      </c>
      <c r="P35" s="59"/>
      <c r="Q35" s="59"/>
    </row>
    <row r="36" spans="9:17">
      <c r="I36" s="59"/>
      <c r="J36" s="59">
        <v>20</v>
      </c>
      <c r="K36" s="60">
        <v>180000</v>
      </c>
      <c r="L36" s="60">
        <v>1700</v>
      </c>
      <c r="M36" s="59" t="s">
        <v>211</v>
      </c>
      <c r="N36" s="59"/>
      <c r="O36" s="59"/>
      <c r="P36" s="59"/>
      <c r="Q36" s="59"/>
    </row>
    <row r="37" spans="9:17">
      <c r="I37" s="57"/>
      <c r="J37" s="57"/>
      <c r="K37" s="57"/>
      <c r="L37" s="57"/>
      <c r="M37" s="57"/>
      <c r="N37" s="57"/>
      <c r="O37" s="57"/>
      <c r="P37" s="57"/>
      <c r="Q37" s="57"/>
    </row>
    <row r="38" spans="9:17">
      <c r="I38" s="57" t="s">
        <v>216</v>
      </c>
      <c r="J38" s="57">
        <v>40</v>
      </c>
      <c r="K38" s="58">
        <v>360000</v>
      </c>
      <c r="L38" s="57" t="s">
        <v>217</v>
      </c>
      <c r="M38" s="57"/>
      <c r="N38" s="57"/>
      <c r="O38" s="57"/>
      <c r="P38" s="57" t="s">
        <v>218</v>
      </c>
      <c r="Q38" s="57"/>
    </row>
    <row r="39" spans="9:17">
      <c r="I39" s="57"/>
      <c r="J39" s="57">
        <v>40</v>
      </c>
      <c r="K39" s="58">
        <v>320000</v>
      </c>
      <c r="L39" s="57"/>
      <c r="M39" s="57"/>
      <c r="N39" s="57"/>
      <c r="O39" s="57"/>
      <c r="P39" s="57" t="s">
        <v>219</v>
      </c>
      <c r="Q39" s="57"/>
    </row>
    <row r="40" spans="9:17">
      <c r="I40" s="57"/>
      <c r="J40" s="57">
        <v>20</v>
      </c>
      <c r="K40" s="58">
        <v>210000</v>
      </c>
      <c r="L40" s="57"/>
      <c r="M40" s="57"/>
      <c r="N40" s="57"/>
      <c r="O40" s="57"/>
      <c r="P40" s="57" t="s">
        <v>218</v>
      </c>
      <c r="Q40" s="57"/>
    </row>
    <row r="41" spans="9:17">
      <c r="I41" s="57"/>
      <c r="J41" s="57">
        <v>20</v>
      </c>
      <c r="K41" s="58">
        <v>180000</v>
      </c>
      <c r="L41" s="57"/>
      <c r="M41" s="57"/>
      <c r="N41" s="57"/>
      <c r="O41" s="57"/>
      <c r="P41" s="57" t="s">
        <v>219</v>
      </c>
      <c r="Q41" s="57"/>
    </row>
    <row r="42" spans="9:17">
      <c r="I42" s="57"/>
      <c r="J42" s="57"/>
      <c r="K42" s="57"/>
      <c r="L42" s="57"/>
      <c r="M42" s="57"/>
      <c r="N42" s="57"/>
      <c r="O42" s="57"/>
      <c r="P42" s="57"/>
      <c r="Q42" s="57"/>
    </row>
    <row r="43" spans="9:17">
      <c r="I43" s="57" t="s">
        <v>220</v>
      </c>
      <c r="J43" s="57">
        <v>40</v>
      </c>
      <c r="K43" s="58" t="s">
        <v>221</v>
      </c>
      <c r="L43" s="57" t="s">
        <v>222</v>
      </c>
      <c r="M43" s="57" t="s">
        <v>211</v>
      </c>
      <c r="N43" s="57"/>
      <c r="O43" s="57"/>
      <c r="P43" s="57"/>
      <c r="Q43" s="57"/>
    </row>
    <row r="44" spans="9:17">
      <c r="I44" s="57"/>
      <c r="J44" s="57">
        <v>20</v>
      </c>
      <c r="K44" s="58" t="s">
        <v>223</v>
      </c>
      <c r="L44" s="57"/>
      <c r="M44" s="57"/>
      <c r="N44" s="57"/>
      <c r="O44" s="57"/>
      <c r="P44" s="57"/>
      <c r="Q44" s="57"/>
    </row>
    <row r="45" spans="9:17">
      <c r="I45" s="57"/>
      <c r="J45" s="57"/>
      <c r="K45" s="57"/>
      <c r="L45" s="57"/>
      <c r="M45" s="57"/>
      <c r="N45" s="57"/>
      <c r="O45" s="57"/>
      <c r="P45" s="57"/>
      <c r="Q45" s="57"/>
    </row>
    <row r="46" spans="9:17">
      <c r="I46" s="59" t="s">
        <v>224</v>
      </c>
      <c r="J46" s="59">
        <v>40</v>
      </c>
      <c r="K46" s="60">
        <v>380000</v>
      </c>
      <c r="L46" s="60">
        <v>1500</v>
      </c>
      <c r="M46" s="59" t="s">
        <v>211</v>
      </c>
      <c r="N46" s="59" t="s">
        <v>225</v>
      </c>
      <c r="O46" s="59" t="s">
        <v>226</v>
      </c>
      <c r="P46" s="59" t="s">
        <v>218</v>
      </c>
      <c r="Q46" s="59" t="s">
        <v>227</v>
      </c>
    </row>
    <row r="47" spans="9:17">
      <c r="I47" s="59"/>
      <c r="J47" s="59">
        <v>20</v>
      </c>
      <c r="K47" s="60">
        <v>180000</v>
      </c>
      <c r="L47" s="60"/>
      <c r="M47" s="59"/>
      <c r="N47" s="59"/>
      <c r="O47" s="59"/>
      <c r="P47" s="59" t="s">
        <v>218</v>
      </c>
      <c r="Q47" s="59"/>
    </row>
    <row r="48" spans="9:17">
      <c r="I48" s="59"/>
      <c r="J48" s="59">
        <v>40</v>
      </c>
      <c r="K48" s="60">
        <v>340000</v>
      </c>
      <c r="L48" s="59"/>
      <c r="M48" s="59"/>
      <c r="N48" s="59"/>
      <c r="O48" s="59"/>
      <c r="P48" s="59" t="s">
        <v>219</v>
      </c>
      <c r="Q48" s="59"/>
    </row>
    <row r="49" spans="9:17">
      <c r="I49" s="59"/>
      <c r="J49" s="59">
        <v>20</v>
      </c>
      <c r="K49" s="60">
        <v>150000</v>
      </c>
      <c r="L49" s="59"/>
      <c r="M49" s="59"/>
      <c r="N49" s="59"/>
      <c r="O49" s="59"/>
      <c r="P49" s="59" t="s">
        <v>219</v>
      </c>
      <c r="Q49" s="59"/>
    </row>
    <row r="50" spans="9:17">
      <c r="I50" s="57"/>
      <c r="J50" s="57"/>
      <c r="K50" s="58"/>
      <c r="L50" s="57"/>
      <c r="M50" s="57"/>
      <c r="N50" s="57"/>
      <c r="O50" s="57"/>
      <c r="P50" s="57"/>
      <c r="Q50" s="57"/>
    </row>
    <row r="51" spans="9:17">
      <c r="I51" s="57" t="s">
        <v>228</v>
      </c>
      <c r="J51" s="57">
        <v>40</v>
      </c>
      <c r="K51" s="58">
        <v>430000</v>
      </c>
      <c r="L51" s="57" t="s">
        <v>229</v>
      </c>
      <c r="M51" s="57"/>
      <c r="N51" s="57" t="s">
        <v>230</v>
      </c>
      <c r="O51" s="57" t="s">
        <v>231</v>
      </c>
      <c r="P51" s="57"/>
      <c r="Q51" s="57"/>
    </row>
    <row r="52" spans="9:17">
      <c r="I52" s="57"/>
      <c r="J52" s="57">
        <v>20</v>
      </c>
      <c r="K52" s="58">
        <v>230000</v>
      </c>
      <c r="L52" s="57"/>
      <c r="M52" s="57"/>
      <c r="N52" s="57"/>
      <c r="O52" s="57"/>
      <c r="P52" s="57"/>
      <c r="Q52" s="57"/>
    </row>
    <row r="53" spans="9:17">
      <c r="I53" s="57"/>
      <c r="J53" s="57"/>
      <c r="K53" s="58"/>
      <c r="L53" s="57"/>
      <c r="M53" s="57"/>
      <c r="N53" s="57"/>
      <c r="O53" s="57"/>
      <c r="P53" s="57"/>
      <c r="Q53" s="57"/>
    </row>
    <row r="54" spans="9:17">
      <c r="I54" s="57"/>
      <c r="J54" s="57"/>
      <c r="K54" s="58"/>
      <c r="L54" s="57"/>
      <c r="M54" s="57"/>
      <c r="N54" s="57"/>
      <c r="O54" s="57"/>
      <c r="P54" s="57"/>
      <c r="Q54" s="57"/>
    </row>
    <row r="55" spans="9:17">
      <c r="I55" s="57"/>
      <c r="J55" s="57"/>
      <c r="K55" s="58"/>
      <c r="L55" s="57"/>
      <c r="M55" s="57"/>
      <c r="N55" s="57"/>
      <c r="O55" s="57"/>
      <c r="P55" s="57"/>
      <c r="Q55" s="57"/>
    </row>
    <row r="56" spans="9:17">
      <c r="I56" s="57" t="s">
        <v>232</v>
      </c>
      <c r="J56" s="57" t="s">
        <v>233</v>
      </c>
      <c r="K56" s="58" t="s">
        <v>234</v>
      </c>
      <c r="L56" s="57" t="s">
        <v>235</v>
      </c>
      <c r="M56" s="57"/>
      <c r="N56" s="57"/>
      <c r="O56" s="57"/>
      <c r="P56" s="57"/>
      <c r="Q56" s="57"/>
    </row>
    <row r="58" spans="9:17">
      <c r="I58" t="s">
        <v>236</v>
      </c>
      <c r="J58" t="s">
        <v>237</v>
      </c>
    </row>
  </sheetData>
  <hyperlinks>
    <hyperlink ref="C10" r:id="rId1" xr:uid="{62810428-1FE8-8045-BF17-7B7DD253F73A}"/>
    <hyperlink ref="C22" r:id="rId2" xr:uid="{CFBEF05E-1577-074B-BB95-356EC35A579E}"/>
    <hyperlink ref="C21" r:id="rId3" xr:uid="{D692EBEF-EE5F-1642-A9F7-9CDEEA321E35}"/>
    <hyperlink ref="J20" r:id="rId4" xr:uid="{D50E0963-ED64-4C4A-A4E4-146D24983794}"/>
  </hyperlinks>
  <pageMargins left="0.7" right="0.7" top="0.75" bottom="0.75" header="0.3" footer="0.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E1A5-CF3E-D642-9DD8-27D1C2E2F2D9}">
  <dimension ref="C2:J34"/>
  <sheetViews>
    <sheetView workbookViewId="0">
      <selection activeCell="E34" sqref="E34"/>
    </sheetView>
  </sheetViews>
  <sheetFormatPr defaultColWidth="11" defaultRowHeight="15.95"/>
  <cols>
    <col min="3" max="3" width="18.375" customWidth="1"/>
    <col min="5" max="5" width="25.625" bestFit="1" customWidth="1"/>
    <col min="6" max="6" width="14.5" bestFit="1" customWidth="1"/>
    <col min="9" max="9" width="13.125" customWidth="1"/>
  </cols>
  <sheetData>
    <row r="2" spans="3:10">
      <c r="C2" t="s">
        <v>37</v>
      </c>
      <c r="E2" t="s">
        <v>4</v>
      </c>
      <c r="F2" s="46" t="s">
        <v>60</v>
      </c>
      <c r="I2" t="s">
        <v>84</v>
      </c>
      <c r="J2" t="s">
        <v>85</v>
      </c>
    </row>
    <row r="3" spans="3:10">
      <c r="C3" s="50" t="s">
        <v>238</v>
      </c>
      <c r="E3" s="43" t="s">
        <v>93</v>
      </c>
      <c r="F3" s="47" t="s">
        <v>239</v>
      </c>
      <c r="I3" s="45" t="s">
        <v>39</v>
      </c>
      <c r="J3" s="50" t="s">
        <v>240</v>
      </c>
    </row>
    <row r="4" spans="3:10">
      <c r="C4" s="50" t="s">
        <v>241</v>
      </c>
      <c r="E4" s="43" t="s">
        <v>242</v>
      </c>
      <c r="F4" s="48" t="s">
        <v>74</v>
      </c>
      <c r="I4" s="53" t="s">
        <v>94</v>
      </c>
      <c r="J4" s="50" t="s">
        <v>243</v>
      </c>
    </row>
    <row r="5" spans="3:10">
      <c r="C5" s="50" t="s">
        <v>244</v>
      </c>
      <c r="E5" s="43" t="s">
        <v>245</v>
      </c>
      <c r="F5" s="48" t="s">
        <v>246</v>
      </c>
    </row>
    <row r="6" spans="3:10">
      <c r="C6" s="50" t="s">
        <v>247</v>
      </c>
      <c r="E6" s="43" t="s">
        <v>248</v>
      </c>
      <c r="F6" s="48" t="s">
        <v>249</v>
      </c>
    </row>
    <row r="7" spans="3:10">
      <c r="E7" s="43" t="s">
        <v>250</v>
      </c>
      <c r="F7" s="48" t="s">
        <v>251</v>
      </c>
    </row>
    <row r="8" spans="3:10">
      <c r="E8" s="43" t="s">
        <v>252</v>
      </c>
      <c r="F8" s="48" t="s">
        <v>253</v>
      </c>
    </row>
    <row r="9" spans="3:10">
      <c r="E9" s="43" t="s">
        <v>95</v>
      </c>
      <c r="F9" s="48" t="s">
        <v>254</v>
      </c>
    </row>
    <row r="10" spans="3:10">
      <c r="E10" s="43" t="s">
        <v>96</v>
      </c>
      <c r="F10" s="48" t="s">
        <v>254</v>
      </c>
    </row>
    <row r="11" spans="3:10">
      <c r="E11" s="43" t="s">
        <v>255</v>
      </c>
      <c r="F11" s="48" t="s">
        <v>256</v>
      </c>
    </row>
    <row r="12" spans="3:10">
      <c r="E12" s="43" t="s">
        <v>257</v>
      </c>
      <c r="F12" s="48" t="s">
        <v>239</v>
      </c>
    </row>
    <row r="13" spans="3:10">
      <c r="E13" s="43" t="s">
        <v>258</v>
      </c>
      <c r="F13" s="48" t="s">
        <v>259</v>
      </c>
    </row>
    <row r="14" spans="3:10">
      <c r="E14" s="43" t="s">
        <v>260</v>
      </c>
      <c r="F14" s="48" t="s">
        <v>246</v>
      </c>
    </row>
    <row r="15" spans="3:10">
      <c r="E15" s="43" t="s">
        <v>261</v>
      </c>
      <c r="F15" s="48" t="s">
        <v>262</v>
      </c>
    </row>
    <row r="16" spans="3:10">
      <c r="E16" s="43" t="s">
        <v>263</v>
      </c>
      <c r="F16" s="48" t="s">
        <v>264</v>
      </c>
    </row>
    <row r="17" spans="5:6">
      <c r="E17" s="43" t="s">
        <v>265</v>
      </c>
      <c r="F17" s="48" t="s">
        <v>239</v>
      </c>
    </row>
    <row r="18" spans="5:6">
      <c r="E18" s="43" t="s">
        <v>102</v>
      </c>
      <c r="F18" s="48" t="s">
        <v>266</v>
      </c>
    </row>
    <row r="19" spans="5:6">
      <c r="E19" s="43" t="s">
        <v>267</v>
      </c>
      <c r="F19" s="48" t="s">
        <v>57</v>
      </c>
    </row>
    <row r="20" spans="5:6">
      <c r="E20" s="43" t="s">
        <v>268</v>
      </c>
      <c r="F20" s="48" t="s">
        <v>256</v>
      </c>
    </row>
    <row r="21" spans="5:6">
      <c r="E21" s="43" t="s">
        <v>269</v>
      </c>
      <c r="F21" s="48" t="s">
        <v>262</v>
      </c>
    </row>
    <row r="22" spans="5:6">
      <c r="E22" s="43" t="s">
        <v>270</v>
      </c>
      <c r="F22" s="48" t="s">
        <v>57</v>
      </c>
    </row>
    <row r="23" spans="5:6">
      <c r="E23" s="43" t="s">
        <v>271</v>
      </c>
      <c r="F23" s="48" t="s">
        <v>256</v>
      </c>
    </row>
    <row r="24" spans="5:6">
      <c r="E24" s="43" t="s">
        <v>272</v>
      </c>
      <c r="F24" s="48" t="s">
        <v>256</v>
      </c>
    </row>
    <row r="25" spans="5:6">
      <c r="E25" s="43" t="s">
        <v>273</v>
      </c>
      <c r="F25" s="48" t="s">
        <v>262</v>
      </c>
    </row>
    <row r="26" spans="5:6">
      <c r="E26" s="43" t="s">
        <v>274</v>
      </c>
      <c r="F26" s="48" t="s">
        <v>256</v>
      </c>
    </row>
    <row r="27" spans="5:6">
      <c r="E27" s="43" t="s">
        <v>275</v>
      </c>
      <c r="F27" s="48" t="s">
        <v>256</v>
      </c>
    </row>
    <row r="28" spans="5:6">
      <c r="E28" s="43" t="s">
        <v>276</v>
      </c>
      <c r="F28" s="48" t="s">
        <v>277</v>
      </c>
    </row>
    <row r="29" spans="5:6">
      <c r="E29" s="43" t="s">
        <v>278</v>
      </c>
      <c r="F29" s="48" t="s">
        <v>57</v>
      </c>
    </row>
    <row r="30" spans="5:6">
      <c r="E30" s="43" t="s">
        <v>279</v>
      </c>
      <c r="F30" s="48" t="s">
        <v>57</v>
      </c>
    </row>
    <row r="31" spans="5:6">
      <c r="E31" s="43" t="s">
        <v>280</v>
      </c>
      <c r="F31" s="48" t="s">
        <v>262</v>
      </c>
    </row>
    <row r="32" spans="5:6">
      <c r="E32" s="43" t="s">
        <v>281</v>
      </c>
      <c r="F32" s="48" t="s">
        <v>262</v>
      </c>
    </row>
    <row r="33" spans="5:6">
      <c r="E33" s="43" t="s">
        <v>282</v>
      </c>
      <c r="F33" s="49" t="s">
        <v>262</v>
      </c>
    </row>
    <row r="34" spans="5:6">
      <c r="E34" s="48" t="s">
        <v>97</v>
      </c>
      <c r="F34" s="48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99B0-B1B8-D747-B61C-1F98C74C3F70}">
  <dimension ref="B2:D4"/>
  <sheetViews>
    <sheetView workbookViewId="0">
      <selection activeCell="G21" sqref="G21"/>
    </sheetView>
  </sheetViews>
  <sheetFormatPr defaultColWidth="11" defaultRowHeight="15.95"/>
  <cols>
    <col min="2" max="2" width="17.5" bestFit="1" customWidth="1"/>
    <col min="3" max="3" width="13.625" customWidth="1"/>
    <col min="4" max="4" width="18.125" customWidth="1"/>
  </cols>
  <sheetData>
    <row r="2" spans="2:4">
      <c r="B2" t="s">
        <v>283</v>
      </c>
    </row>
    <row r="3" spans="2:4">
      <c r="B3" t="s">
        <v>84</v>
      </c>
      <c r="C3" t="s">
        <v>85</v>
      </c>
      <c r="D3" t="s">
        <v>283</v>
      </c>
    </row>
    <row r="4" spans="2:4">
      <c r="B4" t="s">
        <v>39</v>
      </c>
      <c r="C4" t="str">
        <f>_xlfn.XLOOKUP(Table11[[#This Row],[Vehicle Reg]],Table10[Vehicle Reg],Table10[Vehicle Type],"Not Found",0)</f>
        <v>Lorry</v>
      </c>
      <c r="D4">
        <f>SUMIF(Lorry_Trips2025[Vehicle], Table11[[#This Row],[Vehicle Reg]],Lorry_Trips2025[Standard Distance])</f>
        <v>15159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87DEF3-20F0-E645-92BD-1DE2E3B31E29}">
          <x14:formula1>
            <xm:f>'Input Data'!$I$3:$I$4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Moses Rotich</dc:creator>
  <cp:keywords/>
  <dc:description/>
  <cp:lastModifiedBy>Guest User</cp:lastModifiedBy>
  <cp:revision/>
  <dcterms:created xsi:type="dcterms:W3CDTF">2025-03-27T16:11:43Z</dcterms:created>
  <dcterms:modified xsi:type="dcterms:W3CDTF">2026-03-11T10:58:38Z</dcterms:modified>
  <cp:category/>
  <cp:contentStatus/>
</cp:coreProperties>
</file>